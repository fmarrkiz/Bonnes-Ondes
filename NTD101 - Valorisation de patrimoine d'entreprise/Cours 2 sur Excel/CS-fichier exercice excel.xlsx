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copsi\Documents\data_scopsi\INTD\Preparation cours LAV\EXCEL FOD\sources\cours excel1\cours excel1\"/>
    </mc:Choice>
  </mc:AlternateContent>
  <bookViews>
    <workbookView xWindow="0" yWindow="0" windowWidth="19200" windowHeight="8010" firstSheet="1" activeTab="1"/>
  </bookViews>
  <sheets>
    <sheet name="SUIVI BUDGET EP02" sheetId="5" r:id="rId1"/>
    <sheet name="EP02-LLIVIA" sheetId="1" r:id="rId2"/>
    <sheet name="EP03-BERMEJA" sheetId="3" r:id="rId3"/>
    <sheet name="PERIMETRE DROITS" sheetId="2" r:id="rId4"/>
    <sheet name="TABLEAU A FORMATTER" sheetId="15" r:id="rId5"/>
    <sheet name="Feuil11" sheetId="16" r:id="rId6"/>
    <sheet name="Feuil12" sheetId="17" r:id="rId7"/>
    <sheet name="Feuil13" sheetId="18" r:id="rId8"/>
    <sheet name="Feuil14" sheetId="19" r:id="rId9"/>
  </sheets>
  <definedNames>
    <definedName name="_xlnm._FilterDatabase" localSheetId="1" hidden="1">'EP02-LLIVIA'!$A$5:$Z$5</definedName>
  </definedNames>
  <calcPr calcId="162913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j5BKszgGZUxqAfG6+3Pw+P6RYXaA=="/>
    </ext>
  </extLst>
</workbook>
</file>

<file path=xl/calcChain.xml><?xml version="1.0" encoding="utf-8"?>
<calcChain xmlns="http://schemas.openxmlformats.org/spreadsheetml/2006/main">
  <c r="W8" i="15" l="1"/>
  <c r="X8" i="15"/>
</calcChain>
</file>

<file path=xl/comments1.xml><?xml version="1.0" encoding="utf-8"?>
<comments xmlns="http://schemas.openxmlformats.org/spreadsheetml/2006/main">
  <authors>
    <author>audre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audre:</t>
        </r>
        <r>
          <rPr>
            <sz val="9"/>
            <color indexed="81"/>
            <rFont val="Tahoma"/>
            <family val="2"/>
          </rPr>
          <t xml:space="preserve">
Je vois noté 24/06/2013 sur la coupure de presse</t>
        </r>
      </text>
    </comment>
  </commentList>
</comments>
</file>

<file path=xl/comments2.xml><?xml version="1.0" encoding="utf-8"?>
<comments xmlns="http://schemas.openxmlformats.org/spreadsheetml/2006/main">
  <authors>
    <author>audre</author>
  </authors>
  <commentList>
    <comment ref="I3" authorId="0" shapeId="0">
      <text>
        <r>
          <rPr>
            <b/>
            <sz val="9"/>
            <color indexed="81"/>
            <rFont val="Tahoma"/>
            <family val="2"/>
          </rPr>
          <t>audre:</t>
        </r>
        <r>
          <rPr>
            <sz val="9"/>
            <color indexed="81"/>
            <rFont val="Tahoma"/>
            <family val="2"/>
          </rPr>
          <t xml:space="preserve">
Je vois noté 24/06/2013 sur la coupure de presse</t>
        </r>
      </text>
    </comment>
  </commentList>
</comments>
</file>

<file path=xl/sharedStrings.xml><?xml version="1.0" encoding="utf-8"?>
<sst xmlns="http://schemas.openxmlformats.org/spreadsheetml/2006/main" count="257" uniqueCount="98">
  <si>
    <t>durée extrait</t>
  </si>
  <si>
    <t>source</t>
  </si>
  <si>
    <t>ayants-droit/crédits</t>
  </si>
  <si>
    <t>contact commercial</t>
  </si>
  <si>
    <t>état de la demande (ex : devis demandé, ou clean demandé , ou négo droits en cours depuis le …, délai)</t>
  </si>
  <si>
    <r>
      <rPr>
        <b/>
        <sz val="9"/>
        <color rgb="FFFFFFFF"/>
        <rFont val="Calibri"/>
        <family val="2"/>
      </rPr>
      <t>devis reçu /</t>
    </r>
    <r>
      <rPr>
        <b/>
        <i/>
        <sz val="9"/>
        <color rgb="FFFFFFFF"/>
        <rFont val="Calibri"/>
        <family val="2"/>
      </rPr>
      <t xml:space="preserve"> devis estimé d'après tarifs disponibles</t>
    </r>
  </si>
  <si>
    <t>Frais Techniques</t>
  </si>
  <si>
    <t>commentaire sur tarif (minute insécible etc…)</t>
  </si>
  <si>
    <t>synthèse coût</t>
  </si>
  <si>
    <t>Texte</t>
  </si>
  <si>
    <t>Recherche</t>
  </si>
  <si>
    <t>Time code</t>
  </si>
  <si>
    <t>Titre documentaire : GEOZARBIE</t>
  </si>
  <si>
    <t>lien source</t>
  </si>
  <si>
    <t>Descriptif image</t>
  </si>
  <si>
    <t>Référence (id de la source)</t>
  </si>
  <si>
    <t>Conditions</t>
  </si>
  <si>
    <t xml:space="preserve">Codes couleur légende : </t>
  </si>
  <si>
    <t>ANIMATION</t>
  </si>
  <si>
    <t>CARTO</t>
  </si>
  <si>
    <t>A VALIDER</t>
  </si>
  <si>
    <t>BUDGET ARCHIVES : 50 000 € en tout soit 5 000 € par EP 
Budget Shutterstock : 20 000 € en tout, soit 2 000 € par EP
Budget Archives autres : 3 000 € par EP
8 000 €: Frais Techniques</t>
  </si>
  <si>
    <t>RECHERCHES ARCHIVES XY ZEBRE</t>
  </si>
  <si>
    <t>A valider / OK si Validé</t>
  </si>
  <si>
    <t>1ère partie : La guerre des Stops</t>
  </si>
  <si>
    <t>Animation</t>
  </si>
  <si>
    <t>Près de la frontière espagnole, à un carrefour de campagne,</t>
  </si>
  <si>
    <t>des ouvriers français installent des « stops » pour en améliorer la sécurité.</t>
  </si>
  <si>
    <t xml:space="preserve">16 avril 1971. </t>
  </si>
  <si>
    <t>Shutterstock / Ouvriers travaillant</t>
  </si>
  <si>
    <t>Infos complémentaires</t>
  </si>
  <si>
    <t xml:space="preserve">remarques </t>
  </si>
  <si>
    <t>GEDEON/ Stagiaire</t>
  </si>
  <si>
    <t>SHUTTERSTOCK</t>
  </si>
  <si>
    <t>https://premier.shutterstock.com/image/detail-1937791687/two-construction-workers-shovel-concrete-while-building-a-road-on-a-street-in-the-new-development-area?src=id</t>
  </si>
  <si>
    <t>Responsable de la recherche</t>
  </si>
  <si>
    <t>Libre de droits</t>
  </si>
  <si>
    <t>https://www.shutterstock.com/fr/image-vector/man-holding-stop-sign-slow-vector-598945700</t>
  </si>
  <si>
    <t xml:space="preserve">Homme tenant un panneau stop et un panneau lent. </t>
  </si>
  <si>
    <t>Ilustration/ image vectorielle</t>
  </si>
  <si>
    <t>Format Image</t>
  </si>
  <si>
    <t>JPEG</t>
  </si>
  <si>
    <t>EPS ou JPEG</t>
  </si>
  <si>
    <t>Yindee</t>
  </si>
  <si>
    <t>Arthur de Rauglaudre :  01 86 26 26 95 aderauglaudre@shutterstock.com</t>
  </si>
  <si>
    <t>Ouvrier avec un marteau piqueur</t>
  </si>
  <si>
    <t>https://www.shutterstock.com/fr/image-photo/men-working-road-construction-1821517055</t>
  </si>
  <si>
    <t>Two construction workers shovel concrete while building a road on a street in the new development area</t>
  </si>
  <si>
    <t>Photo</t>
  </si>
  <si>
    <t>Robert Kneschke</t>
  </si>
  <si>
    <t>Laszlo66</t>
  </si>
  <si>
    <t>Les hommes travaillent dans la construction de la route</t>
  </si>
  <si>
    <t>Deux ouvriers avec des pelles</t>
  </si>
  <si>
    <t xml:space="preserve">Deux ouvriers avec des panneaux stop </t>
  </si>
  <si>
    <t xml:space="preserve">Dénomination d'origine (titre, legende …)  </t>
  </si>
  <si>
    <t xml:space="preserve">Archives / Route neutre Llivia / Carrefour RN20 (1970) années 1970 - Route départementale 68 - route neutre de Llivia </t>
  </si>
  <si>
    <t>XY ZEBRE/ Maud</t>
  </si>
  <si>
    <t>type (photo, illustration, carte géographique, animation, vidéo, coupure de presse, carte postale...)</t>
  </si>
  <si>
    <t>N&amp;B / Sépia/ Couleur</t>
  </si>
  <si>
    <t>N&amp;B</t>
  </si>
  <si>
    <t>Date</t>
  </si>
  <si>
    <t>Route Frédérique Berlic</t>
  </si>
  <si>
    <t>F_Berlic ARCHIVE 56432.jpg</t>
  </si>
  <si>
    <t>Contact : fredberlic@hotmail.com</t>
  </si>
  <si>
    <t>Tarif : 150,00€ / photo ou document</t>
  </si>
  <si>
    <t>F_Berlic ARTICLE 24 juin 2015 noeud routier conflit panneaux.jpg</t>
  </si>
  <si>
    <t>F_Berlic ARTICLE 9 juin 2013 noeud routier.jpg</t>
  </si>
  <si>
    <t>Officiers devant panneau N 20 Chemin neutre/ Llivia / Douane</t>
  </si>
  <si>
    <t>Coupure de presse</t>
  </si>
  <si>
    <t>Couleur</t>
  </si>
  <si>
    <t>24/06/2013</t>
  </si>
  <si>
    <t>Coupure de presse du journal l'indépendant.
Titres : Nœud routier, la France prend position, l'Espagne aussi
L'Espagne ne soutient plus l'enclave de Llivia</t>
  </si>
  <si>
    <t>09/06/2013</t>
  </si>
  <si>
    <t>Coupure de presse du journal l'indépendant.
Titre : Le Ministre Laurent Fabius règle l'affaire du nœud routier</t>
  </si>
  <si>
    <t>Le Ministre Laurent Fabius règle l'affaire du nœud routier</t>
  </si>
  <si>
    <t>* Nœud routier, la France prend position, l'Espagne aussi
* L'Espagne ne soutient plus l'enclave de Llivia</t>
  </si>
  <si>
    <t>La réponse est simple : Llivia ; une ville espagnole, juste à côté, en plein territoire français.</t>
  </si>
  <si>
    <t>Carte / Panneau Llivia</t>
  </si>
  <si>
    <t>Frédérique Berlic</t>
  </si>
  <si>
    <t>Voir Dropbox ZYZEBRE dossier :
Route Frédérique Berlic</t>
  </si>
  <si>
    <t>budget</t>
  </si>
  <si>
    <t>engagé</t>
  </si>
  <si>
    <t>Étiquettes de lignes</t>
  </si>
  <si>
    <t>(vide)</t>
  </si>
  <si>
    <t>Total général</t>
  </si>
  <si>
    <t>Somme de synthèse coût</t>
  </si>
  <si>
    <t>facturé</t>
  </si>
  <si>
    <t>Nombre d'images achetées</t>
  </si>
  <si>
    <t>devis</t>
  </si>
  <si>
    <t>PERIMETRE DROITS : WEB (+ réseaux sociaux, youtube) 5 ans (Monde)</t>
  </si>
  <si>
    <t>RECHERCHES ARCHIVES POUR G</t>
  </si>
  <si>
    <t>RECHERCHES/SHUTTERSTOCK G</t>
  </si>
  <si>
    <t>devis reçu / devis estimé d'après tarifs disponibles</t>
  </si>
  <si>
    <t>Tarif : 250,00€ / photo ou document</t>
  </si>
  <si>
    <t>50 euros</t>
  </si>
  <si>
    <t>75 euros</t>
  </si>
  <si>
    <t>coût de l'épisode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</si>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</sst>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[$€-40C]_-;\-* #,##0.00\ [$€-40C]_-;_-* &quot;-&quot;??\ [$€-40C]_-;_-@_-"/>
    <numFmt numFmtId="165" formatCode="#,##0.00\ &quot;€&quot;"/>
    <numFmt numFmtId="166" formatCode="#,##0.00\ _€"/>
  </numFmts>
  <fonts count="21" x14ac:knownFonts="1">
    <font>
      <sz val="11"/>
      <color theme="1"/>
      <name val="Arial"/>
    </font>
    <font>
      <b/>
      <sz val="9"/>
      <color theme="1"/>
      <name val="Calibri"/>
      <family val="2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u/>
      <sz val="9"/>
      <color theme="1"/>
      <name val="Calibri"/>
      <family val="2"/>
    </font>
    <font>
      <i/>
      <sz val="9"/>
      <color theme="1"/>
      <name val="Calibri"/>
      <family val="2"/>
    </font>
    <font>
      <b/>
      <i/>
      <sz val="9"/>
      <color rgb="FFFFFFFF"/>
      <name val="Calibri"/>
      <family val="2"/>
    </font>
    <font>
      <b/>
      <sz val="10"/>
      <color theme="1"/>
      <name val="Calibri"/>
      <family val="2"/>
    </font>
    <font>
      <sz val="11"/>
      <color theme="1"/>
      <name val="Arial"/>
    </font>
    <font>
      <sz val="10"/>
      <color theme="1"/>
      <name val="Calibri"/>
      <family val="2"/>
    </font>
    <font>
      <u/>
      <sz val="11"/>
      <color theme="1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name val="Calibri"/>
      <family val="2"/>
    </font>
    <font>
      <sz val="9"/>
      <color rgb="FFC00000"/>
      <name val="Calibri"/>
      <family val="2"/>
    </font>
    <font>
      <sz val="10"/>
      <color rgb="FFC00000"/>
      <name val="Calibri"/>
      <family val="2"/>
    </font>
    <font>
      <b/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3F3F3F"/>
        <bgColor rgb="FF3F3F3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rgb="FF3F3F3F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0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106">
    <xf numFmtId="0" fontId="0" fillId="0" borderId="0" xfId="0" applyFont="1" applyAlignment="1"/>
    <xf numFmtId="2" fontId="5" fillId="0" borderId="4" xfId="0" applyNumberFormat="1" applyFont="1" applyBorder="1" applyAlignment="1">
      <alignment vertical="top" wrapText="1"/>
    </xf>
    <xf numFmtId="49" fontId="5" fillId="0" borderId="4" xfId="0" applyNumberFormat="1" applyFont="1" applyBorder="1" applyAlignment="1">
      <alignment wrapText="1"/>
    </xf>
    <xf numFmtId="0" fontId="5" fillId="0" borderId="4" xfId="0" applyFont="1" applyBorder="1" applyAlignment="1">
      <alignment wrapText="1"/>
    </xf>
    <xf numFmtId="49" fontId="1" fillId="0" borderId="2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wrapText="1"/>
    </xf>
    <xf numFmtId="49" fontId="1" fillId="0" borderId="7" xfId="0" applyNumberFormat="1" applyFont="1" applyBorder="1" applyAlignment="1">
      <alignment wrapText="1"/>
    </xf>
    <xf numFmtId="49" fontId="1" fillId="0" borderId="9" xfId="0" applyNumberFormat="1" applyFont="1" applyBorder="1" applyAlignment="1">
      <alignment wrapText="1"/>
    </xf>
    <xf numFmtId="164" fontId="1" fillId="0" borderId="2" xfId="0" applyNumberFormat="1" applyFont="1" applyBorder="1" applyAlignment="1">
      <alignment wrapText="1"/>
    </xf>
    <xf numFmtId="0" fontId="11" fillId="0" borderId="10" xfId="0" applyFont="1" applyBorder="1" applyAlignment="1">
      <alignment vertical="top" wrapText="1"/>
    </xf>
    <xf numFmtId="49" fontId="1" fillId="0" borderId="4" xfId="0" applyNumberFormat="1" applyFont="1" applyBorder="1" applyAlignment="1">
      <alignment wrapText="1"/>
    </xf>
    <xf numFmtId="49" fontId="5" fillId="0" borderId="11" xfId="0" applyNumberFormat="1" applyFont="1" applyBorder="1" applyAlignment="1">
      <alignment wrapText="1"/>
    </xf>
    <xf numFmtId="2" fontId="5" fillId="0" borderId="11" xfId="0" applyNumberFormat="1" applyFont="1" applyBorder="1" applyAlignment="1">
      <alignment vertical="top" wrapText="1"/>
    </xf>
    <xf numFmtId="2" fontId="7" fillId="0" borderId="11" xfId="0" applyNumberFormat="1" applyFont="1" applyBorder="1" applyAlignment="1">
      <alignment vertical="top" wrapText="1"/>
    </xf>
    <xf numFmtId="49" fontId="5" fillId="0" borderId="3" xfId="0" applyNumberFormat="1" applyFont="1" applyBorder="1" applyAlignment="1">
      <alignment wrapText="1"/>
    </xf>
    <xf numFmtId="49" fontId="5" fillId="0" borderId="5" xfId="0" applyNumberFormat="1" applyFont="1" applyBorder="1" applyAlignment="1">
      <alignment vertical="top" wrapText="1"/>
    </xf>
    <xf numFmtId="49" fontId="5" fillId="0" borderId="5" xfId="0" applyNumberFormat="1" applyFont="1" applyBorder="1" applyAlignment="1">
      <alignment wrapText="1"/>
    </xf>
    <xf numFmtId="49" fontId="5" fillId="0" borderId="0" xfId="0" applyNumberFormat="1" applyFont="1" applyBorder="1" applyAlignment="1">
      <alignment vertical="top" wrapText="1"/>
    </xf>
    <xf numFmtId="2" fontId="5" fillId="0" borderId="5" xfId="0" applyNumberFormat="1" applyFont="1" applyBorder="1" applyAlignment="1">
      <alignment vertical="top" wrapText="1"/>
    </xf>
    <xf numFmtId="2" fontId="1" fillId="0" borderId="11" xfId="0" applyNumberFormat="1" applyFont="1" applyBorder="1" applyAlignment="1">
      <alignment vertical="top" wrapText="1"/>
    </xf>
    <xf numFmtId="0" fontId="0" fillId="10" borderId="0" xfId="0" applyFont="1" applyFill="1" applyBorder="1" applyAlignment="1"/>
    <xf numFmtId="49" fontId="5" fillId="0" borderId="12" xfId="0" applyNumberFormat="1" applyFont="1" applyFill="1" applyBorder="1" applyAlignment="1">
      <alignment vertical="top" wrapText="1"/>
    </xf>
    <xf numFmtId="49" fontId="5" fillId="4" borderId="12" xfId="0" applyNumberFormat="1" applyFont="1" applyFill="1" applyBorder="1" applyAlignment="1">
      <alignment vertical="top" wrapText="1"/>
    </xf>
    <xf numFmtId="2" fontId="6" fillId="0" borderId="12" xfId="0" applyNumberFormat="1" applyFont="1" applyBorder="1" applyAlignment="1">
      <alignment vertical="top" wrapText="1"/>
    </xf>
    <xf numFmtId="49" fontId="1" fillId="9" borderId="14" xfId="0" applyNumberFormat="1" applyFont="1" applyFill="1" applyBorder="1" applyAlignment="1">
      <alignment horizontal="center" wrapText="1"/>
    </xf>
    <xf numFmtId="49" fontId="5" fillId="9" borderId="14" xfId="0" applyNumberFormat="1" applyFont="1" applyFill="1" applyBorder="1" applyAlignment="1">
      <alignment wrapText="1"/>
    </xf>
    <xf numFmtId="0" fontId="5" fillId="9" borderId="14" xfId="0" applyFont="1" applyFill="1" applyBorder="1" applyAlignment="1">
      <alignment wrapText="1"/>
    </xf>
    <xf numFmtId="0" fontId="5" fillId="9" borderId="15" xfId="0" applyFont="1" applyFill="1" applyBorder="1" applyAlignment="1">
      <alignment wrapText="1"/>
    </xf>
    <xf numFmtId="49" fontId="1" fillId="0" borderId="16" xfId="0" applyNumberFormat="1" applyFont="1" applyBorder="1" applyAlignment="1">
      <alignment horizontal="center" wrapText="1"/>
    </xf>
    <xf numFmtId="49" fontId="1" fillId="4" borderId="16" xfId="0" applyNumberFormat="1" applyFont="1" applyFill="1" applyBorder="1" applyAlignment="1">
      <alignment horizontal="center" wrapText="1"/>
    </xf>
    <xf numFmtId="49" fontId="1" fillId="5" borderId="16" xfId="0" applyNumberFormat="1" applyFont="1" applyFill="1" applyBorder="1" applyAlignment="1">
      <alignment horizontal="center" wrapText="1"/>
    </xf>
    <xf numFmtId="49" fontId="1" fillId="6" borderId="16" xfId="0" applyNumberFormat="1" applyFont="1" applyFill="1" applyBorder="1" applyAlignment="1">
      <alignment horizontal="center" wrapText="1"/>
    </xf>
    <xf numFmtId="49" fontId="1" fillId="8" borderId="16" xfId="0" applyNumberFormat="1" applyFont="1" applyFill="1" applyBorder="1" applyAlignment="1">
      <alignment horizontal="center" wrapText="1"/>
    </xf>
    <xf numFmtId="49" fontId="1" fillId="7" borderId="16" xfId="0" applyNumberFormat="1" applyFont="1" applyFill="1" applyBorder="1" applyAlignment="1">
      <alignment horizontal="center" wrapText="1"/>
    </xf>
    <xf numFmtId="49" fontId="1" fillId="0" borderId="17" xfId="0" applyNumberFormat="1" applyFont="1" applyBorder="1" applyAlignment="1">
      <alignment wrapText="1"/>
    </xf>
    <xf numFmtId="49" fontId="2" fillId="2" borderId="18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2" fontId="5" fillId="6" borderId="4" xfId="0" applyNumberFormat="1" applyFont="1" applyFill="1" applyBorder="1" applyAlignment="1">
      <alignment vertical="top" wrapText="1"/>
    </xf>
    <xf numFmtId="2" fontId="1" fillId="0" borderId="4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2" fontId="5" fillId="0" borderId="3" xfId="0" applyNumberFormat="1" applyFont="1" applyBorder="1" applyAlignment="1">
      <alignment vertical="top" wrapText="1"/>
    </xf>
    <xf numFmtId="0" fontId="5" fillId="0" borderId="3" xfId="0" applyFont="1" applyBorder="1" applyAlignment="1">
      <alignment wrapText="1"/>
    </xf>
    <xf numFmtId="2" fontId="5" fillId="0" borderId="21" xfId="0" applyNumberFormat="1" applyFont="1" applyBorder="1" applyAlignment="1">
      <alignment vertical="top" wrapText="1"/>
    </xf>
    <xf numFmtId="49" fontId="5" fillId="0" borderId="21" xfId="0" applyNumberFormat="1" applyFont="1" applyBorder="1" applyAlignment="1">
      <alignment vertical="top" wrapText="1"/>
    </xf>
    <xf numFmtId="2" fontId="5" fillId="0" borderId="22" xfId="0" applyNumberFormat="1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49" fontId="12" fillId="0" borderId="1" xfId="2" applyNumberFormat="1" applyBorder="1" applyAlignment="1">
      <alignment wrapText="1"/>
    </xf>
    <xf numFmtId="0" fontId="5" fillId="0" borderId="5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2" fontId="1" fillId="0" borderId="3" xfId="0" applyNumberFormat="1" applyFont="1" applyBorder="1" applyAlignment="1">
      <alignment vertical="top" wrapText="1"/>
    </xf>
    <xf numFmtId="49" fontId="5" fillId="8" borderId="3" xfId="0" applyNumberFormat="1" applyFont="1" applyFill="1" applyBorder="1" applyAlignment="1">
      <alignment wrapText="1"/>
    </xf>
    <xf numFmtId="1" fontId="13" fillId="0" borderId="5" xfId="1" applyNumberFormat="1" applyFont="1" applyBorder="1" applyAlignment="1">
      <alignment horizontal="left" vertical="top"/>
    </xf>
    <xf numFmtId="165" fontId="5" fillId="0" borderId="4" xfId="0" applyNumberFormat="1" applyFont="1" applyBorder="1" applyAlignment="1">
      <alignment horizontal="left" vertical="top" wrapText="1"/>
    </xf>
    <xf numFmtId="49" fontId="5" fillId="5" borderId="4" xfId="0" applyNumberFormat="1" applyFont="1" applyFill="1" applyBorder="1" applyAlignment="1">
      <alignment wrapText="1"/>
    </xf>
    <xf numFmtId="2" fontId="5" fillId="0" borderId="0" xfId="0" applyNumberFormat="1" applyFont="1" applyBorder="1" applyAlignment="1">
      <alignment vertical="top" wrapText="1"/>
    </xf>
    <xf numFmtId="0" fontId="17" fillId="11" borderId="19" xfId="0" applyFont="1" applyFill="1" applyBorder="1" applyAlignment="1">
      <alignment horizontal="center" vertical="center" wrapText="1"/>
    </xf>
    <xf numFmtId="166" fontId="5" fillId="0" borderId="11" xfId="0" applyNumberFormat="1" applyFont="1" applyBorder="1" applyAlignment="1">
      <alignment vertical="top" wrapText="1"/>
    </xf>
    <xf numFmtId="166" fontId="5" fillId="0" borderId="5" xfId="0" applyNumberFormat="1" applyFont="1" applyBorder="1" applyAlignment="1">
      <alignment vertical="top" wrapText="1"/>
    </xf>
    <xf numFmtId="166" fontId="5" fillId="0" borderId="4" xfId="0" applyNumberFormat="1" applyFont="1" applyBorder="1" applyAlignment="1">
      <alignment vertical="top" wrapText="1"/>
    </xf>
    <xf numFmtId="166" fontId="5" fillId="0" borderId="4" xfId="0" applyNumberFormat="1" applyFont="1" applyBorder="1" applyAlignment="1">
      <alignment wrapText="1"/>
    </xf>
    <xf numFmtId="166" fontId="11" fillId="0" borderId="10" xfId="0" applyNumberFormat="1" applyFont="1" applyBorder="1" applyAlignment="1">
      <alignment vertical="top" wrapText="1"/>
    </xf>
    <xf numFmtId="166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49" fontId="5" fillId="0" borderId="12" xfId="0" applyNumberFormat="1" applyFont="1" applyBorder="1" applyAlignment="1">
      <alignment wrapText="1"/>
    </xf>
    <xf numFmtId="49" fontId="5" fillId="0" borderId="24" xfId="0" applyNumberFormat="1" applyFont="1" applyBorder="1" applyAlignment="1">
      <alignment wrapText="1"/>
    </xf>
    <xf numFmtId="2" fontId="5" fillId="0" borderId="8" xfId="0" applyNumberFormat="1" applyFont="1" applyBorder="1" applyAlignment="1">
      <alignment vertical="top" wrapText="1"/>
    </xf>
    <xf numFmtId="166" fontId="5" fillId="0" borderId="12" xfId="0" applyNumberFormat="1" applyFont="1" applyBorder="1" applyAlignment="1">
      <alignment vertical="top" wrapText="1"/>
    </xf>
    <xf numFmtId="0" fontId="1" fillId="0" borderId="5" xfId="0" applyNumberFormat="1" applyFont="1" applyFill="1" applyBorder="1" applyAlignment="1">
      <alignment vertical="top" wrapText="1"/>
    </xf>
    <xf numFmtId="0" fontId="5" fillId="0" borderId="5" xfId="0" applyNumberFormat="1" applyFont="1" applyFill="1" applyBorder="1" applyAlignment="1">
      <alignment wrapText="1"/>
    </xf>
    <xf numFmtId="0" fontId="5" fillId="0" borderId="5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/>
    <xf numFmtId="0" fontId="13" fillId="0" borderId="5" xfId="1" applyNumberFormat="1" applyFont="1" applyFill="1" applyBorder="1" applyAlignment="1">
      <alignment horizontal="left" vertical="top"/>
    </xf>
    <xf numFmtId="0" fontId="5" fillId="0" borderId="5" xfId="0" applyNumberFormat="1" applyFont="1" applyFill="1" applyBorder="1" applyAlignment="1">
      <alignment horizontal="left" vertical="top" wrapText="1"/>
    </xf>
    <xf numFmtId="0" fontId="12" fillId="0" borderId="5" xfId="2" applyNumberFormat="1" applyFill="1" applyBorder="1" applyAlignment="1">
      <alignment wrapText="1"/>
    </xf>
    <xf numFmtId="0" fontId="18" fillId="0" borderId="5" xfId="0" applyNumberFormat="1" applyFont="1" applyFill="1" applyBorder="1" applyAlignment="1">
      <alignment wrapText="1"/>
    </xf>
    <xf numFmtId="0" fontId="19" fillId="0" borderId="5" xfId="0" applyNumberFormat="1" applyFont="1" applyFill="1" applyBorder="1" applyAlignment="1">
      <alignment vertical="top" wrapText="1"/>
    </xf>
    <xf numFmtId="0" fontId="11" fillId="0" borderId="5" xfId="0" applyNumberFormat="1" applyFont="1" applyFill="1" applyBorder="1" applyAlignment="1">
      <alignment vertical="top" wrapText="1"/>
    </xf>
    <xf numFmtId="0" fontId="20" fillId="0" borderId="5" xfId="0" applyNumberFormat="1" applyFont="1" applyFill="1" applyBorder="1" applyAlignment="1">
      <alignment horizontal="center" vertical="center" wrapText="1"/>
    </xf>
    <xf numFmtId="0" fontId="1" fillId="0" borderId="15" xfId="0" applyNumberFormat="1" applyFont="1" applyFill="1" applyBorder="1" applyAlignment="1">
      <alignment vertical="top" wrapText="1"/>
    </xf>
    <xf numFmtId="0" fontId="5" fillId="0" borderId="13" xfId="0" applyNumberFormat="1" applyFont="1" applyFill="1" applyBorder="1" applyAlignment="1">
      <alignment wrapText="1"/>
    </xf>
    <xf numFmtId="0" fontId="5" fillId="0" borderId="13" xfId="0" applyNumberFormat="1" applyFont="1" applyFill="1" applyBorder="1" applyAlignment="1">
      <alignment vertical="top" wrapText="1"/>
    </xf>
    <xf numFmtId="0" fontId="5" fillId="0" borderId="27" xfId="0" applyNumberFormat="1" applyFont="1" applyFill="1" applyBorder="1" applyAlignment="1">
      <alignment wrapText="1"/>
    </xf>
    <xf numFmtId="0" fontId="1" fillId="0" borderId="16" xfId="0" applyNumberFormat="1" applyFont="1" applyFill="1" applyBorder="1" applyAlignment="1">
      <alignment wrapText="1"/>
    </xf>
    <xf numFmtId="0" fontId="5" fillId="0" borderId="16" xfId="0" applyNumberFormat="1" applyFont="1" applyFill="1" applyBorder="1" applyAlignment="1">
      <alignment wrapText="1"/>
    </xf>
    <xf numFmtId="0" fontId="18" fillId="0" borderId="16" xfId="0" applyNumberFormat="1" applyFont="1" applyFill="1" applyBorder="1" applyAlignment="1">
      <alignment wrapText="1"/>
    </xf>
    <xf numFmtId="0" fontId="17" fillId="0" borderId="25" xfId="0" applyNumberFormat="1" applyFont="1" applyFill="1" applyBorder="1" applyAlignment="1">
      <alignment horizontal="center" vertical="center" wrapText="1"/>
    </xf>
    <xf numFmtId="0" fontId="17" fillId="0" borderId="12" xfId="0" applyNumberFormat="1" applyFont="1" applyFill="1" applyBorder="1" applyAlignment="1">
      <alignment horizontal="center" vertical="center" wrapText="1"/>
    </xf>
    <xf numFmtId="0" fontId="17" fillId="0" borderId="26" xfId="0" applyNumberFormat="1" applyFont="1" applyFill="1" applyBorder="1" applyAlignment="1">
      <alignment horizontal="center" vertical="center" wrapText="1"/>
    </xf>
    <xf numFmtId="0" fontId="19" fillId="0" borderId="16" xfId="0" applyNumberFormat="1" applyFont="1" applyFill="1" applyBorder="1" applyAlignment="1">
      <alignment vertical="top" wrapText="1"/>
    </xf>
    <xf numFmtId="0" fontId="11" fillId="0" borderId="16" xfId="0" applyNumberFormat="1" applyFont="1" applyFill="1" applyBorder="1" applyAlignment="1">
      <alignment vertical="top" wrapText="1"/>
    </xf>
    <xf numFmtId="0" fontId="11" fillId="0" borderId="23" xfId="0" applyNumberFormat="1" applyFont="1" applyFill="1" applyBorder="1" applyAlignment="1">
      <alignment vertical="top" wrapText="1"/>
    </xf>
    <xf numFmtId="49" fontId="9" fillId="0" borderId="6" xfId="0" applyNumberFormat="1" applyFont="1" applyBorder="1" applyAlignment="1">
      <alignment horizontal="center" wrapText="1"/>
    </xf>
    <xf numFmtId="49" fontId="9" fillId="0" borderId="7" xfId="0" applyNumberFormat="1" applyFont="1" applyBorder="1" applyAlignment="1">
      <alignment horizontal="center" wrapText="1"/>
    </xf>
    <xf numFmtId="49" fontId="14" fillId="9" borderId="13" xfId="0" applyNumberFormat="1" applyFont="1" applyFill="1" applyBorder="1" applyAlignment="1">
      <alignment horizontal="left" wrapText="1"/>
    </xf>
    <xf numFmtId="49" fontId="14" fillId="9" borderId="14" xfId="0" applyNumberFormat="1" applyFont="1" applyFill="1" applyBorder="1" applyAlignment="1">
      <alignment horizontal="left" wrapText="1"/>
    </xf>
    <xf numFmtId="49" fontId="1" fillId="0" borderId="1" xfId="0" applyNumberFormat="1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 wrapText="1"/>
    </xf>
    <xf numFmtId="49" fontId="1" fillId="0" borderId="8" xfId="0" applyNumberFormat="1" applyFont="1" applyBorder="1" applyAlignment="1">
      <alignment horizontal="center" wrapText="1"/>
    </xf>
    <xf numFmtId="49" fontId="1" fillId="0" borderId="9" xfId="0" applyNumberFormat="1" applyFont="1" applyBorder="1" applyAlignment="1">
      <alignment horizontal="center" wrapText="1"/>
    </xf>
  </cellXfs>
  <cellStyles count="3">
    <cellStyle name="Lien hypertexte" xfId="2" builtinId="8"/>
    <cellStyle name="Milliers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2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S" refreshedDate="44459.972216203707" createdVersion="6" refreshedVersion="6" minRefreshableVersion="3" recordCount="590">
  <cacheSource type="worksheet">
    <worksheetSource ref="A5:Z595" sheet="EP02-LLIVIA"/>
  </cacheSource>
  <cacheFields count="26">
    <cacheField name="A valider / OK si Validé" numFmtId="0">
      <sharedItems containsBlank="1"/>
    </cacheField>
    <cacheField name="Texte" numFmtId="0">
      <sharedItems containsBlank="1"/>
    </cacheField>
    <cacheField name="Recherche" numFmtId="0">
      <sharedItems containsBlank="1"/>
    </cacheField>
    <cacheField name="Infos complémentaires" numFmtId="0">
      <sharedItems containsBlank="1"/>
    </cacheField>
    <cacheField name="Responsable de la recherche" numFmtId="0">
      <sharedItems containsBlank="1"/>
    </cacheField>
    <cacheField name="Descriptif image" numFmtId="0">
      <sharedItems containsBlank="1"/>
    </cacheField>
    <cacheField name="lien source" numFmtId="0">
      <sharedItems containsBlank="1"/>
    </cacheField>
    <cacheField name="source" numFmtId="0">
      <sharedItems containsBlank="1"/>
    </cacheField>
    <cacheField name="Référence (id de la source)" numFmtId="0">
      <sharedItems containsBlank="1" containsMixedTypes="1" containsNumber="1" containsInteger="1" minValue="598945700" maxValue="1937791687"/>
    </cacheField>
    <cacheField name="Format Image" numFmtId="0">
      <sharedItems containsBlank="1"/>
    </cacheField>
    <cacheField name="Dénomination d'origine (titre, legende …)  " numFmtId="0">
      <sharedItems containsBlank="1"/>
    </cacheField>
    <cacheField name="type (photo, illustration, carte géographique, animation, vidéo, coupure de presse, carte postale...)" numFmtId="0">
      <sharedItems containsBlank="1"/>
    </cacheField>
    <cacheField name="N&amp;B / Sépia/ Couleur" numFmtId="0">
      <sharedItems containsBlank="1"/>
    </cacheField>
    <cacheField name="Date" numFmtId="0">
      <sharedItems containsBlank="1"/>
    </cacheField>
    <cacheField name="ayants-droit/crédits" numFmtId="0">
      <sharedItems containsBlank="1"/>
    </cacheField>
    <cacheField name="Conditions" numFmtId="0">
      <sharedItems containsBlank="1"/>
    </cacheField>
    <cacheField name="contact commercial" numFmtId="0">
      <sharedItems containsBlank="1"/>
    </cacheField>
    <cacheField name="état de la demande (ex : devis demandé, ou clean demandé , ou négo droits en cours depuis le …, délai)" numFmtId="0">
      <sharedItems containsNonDate="0" containsString="0" containsBlank="1"/>
    </cacheField>
    <cacheField name="devis reçu / devis estimé d'après tarifs disponibles" numFmtId="0">
      <sharedItems containsBlank="1" containsMixedTypes="1" containsNumber="1" containsInteger="1" minValue="15" maxValue="15"/>
    </cacheField>
    <cacheField name="Time code" numFmtId="0">
      <sharedItems containsNonDate="0" containsString="0" containsBlank="1"/>
    </cacheField>
    <cacheField name="durée extrait" numFmtId="0">
      <sharedItems containsNonDate="0" containsString="0" containsBlank="1"/>
    </cacheField>
    <cacheField name="budget" numFmtId="0">
      <sharedItems containsBlank="1" count="4">
        <s v="engagé"/>
        <m/>
        <s v="devis"/>
        <s v="facturé"/>
      </sharedItems>
    </cacheField>
    <cacheField name="synthèse coût" numFmtId="166">
      <sharedItems containsString="0" containsBlank="1" containsNumber="1" containsInteger="1" minValue="15" maxValue="150"/>
    </cacheField>
    <cacheField name="Frais Techniques" numFmtId="0">
      <sharedItems containsNonDate="0" containsString="0" containsBlank="1"/>
    </cacheField>
    <cacheField name="commentaire sur tarif (minute insécible etc…)" numFmtId="0">
      <sharedItems containsNonDate="0" containsString="0" containsBlank="1"/>
    </cacheField>
    <cacheField name="remarques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0">
  <r>
    <s v="A VALIDER"/>
    <s v="Près de la frontière espagnole, à un carrefour de campagne,"/>
    <s v="Archives / Route neutre Llivia / Carrefour RN20 (1970) années 1970 - Route départementale 68 - route neutre de Llivia "/>
    <s v="Route Frédérique Berlic"/>
    <s v="XY ZEBRE/ Maud"/>
    <s v="Officiers devant panneau N 20 Chemin neutre/ Llivia / Douane"/>
    <s v="Voir Dropbox ZYZEBRE dossier :_x000a_Route Frédérique Berlic"/>
    <s v="Frédérique Berlic"/>
    <s v="F_Berlic ARCHIVE 56432.jpg"/>
    <s v="JPEG"/>
    <m/>
    <s v="Photo"/>
    <s v="N&amp;B"/>
    <m/>
    <m/>
    <m/>
    <s v="Contact : fredberlic@hotmail.com"/>
    <m/>
    <s v="Tarif : 150,00€ / photo ou document"/>
    <m/>
    <m/>
    <x v="0"/>
    <n v="150"/>
    <m/>
    <m/>
    <m/>
  </r>
  <r>
    <s v="A VALIDER"/>
    <m/>
    <s v="Archives / Route neutre Llivia / Carrefour RN20 (1970) années 1970 - Route départementale 68 - route neutre de Llivia "/>
    <s v="Route Frédérique Berlic"/>
    <s v="XY ZEBRE/ Maud"/>
    <s v="Coupure de presse du journal l'indépendant._x000a_Titres : Nœud routier, la France prend position, l'Espagne aussi_x000a_L'Espagne ne soutient plus l'enclave de Llivia"/>
    <s v="Voir Dropbox ZYZEBRE dossier :_x000a_Route Frédérique Berlic"/>
    <s v="Frédérique Berlic"/>
    <s v="F_Berlic ARTICLE 24 juin 2015 noeud routier conflit panneaux.jpg"/>
    <s v="JPEG"/>
    <s v="* Nœud routier, la France prend position, l'Espagne aussi_x000a_* L'Espagne ne soutient plus l'enclave de Llivia"/>
    <s v="Coupure de presse"/>
    <s v="Couleur"/>
    <s v="24/06/2013"/>
    <m/>
    <m/>
    <s v="Contact : fredberlic@hotmail.com"/>
    <m/>
    <s v="Tarif : 150,00€ / photo ou document"/>
    <m/>
    <m/>
    <x v="1"/>
    <m/>
    <m/>
    <m/>
    <m/>
  </r>
  <r>
    <s v="A VALIDER"/>
    <m/>
    <s v="Archives / Route neutre Llivia / Carrefour RN20 (1970) années 1970 - Route départementale 68 - route neutre de Llivia "/>
    <s v="Route Frédérique Berlic"/>
    <s v="XY ZEBRE/ Maud"/>
    <s v="Coupure de presse du journal l'indépendant._x000a_Titre : Le Ministre Laurent Fabius règle l'affaire du nœud routier"/>
    <s v="Voir Dropbox ZYZEBRE dossier :_x000a_Route Frédérique Berlic"/>
    <s v="Frédérique Berlic"/>
    <s v="F_Berlic ARTICLE 9 juin 2013 noeud routier.jpg"/>
    <s v="JPEG"/>
    <s v="Le Ministre Laurent Fabius règle l'affaire du nœud routier"/>
    <s v="Coupure de presse"/>
    <s v="Couleur"/>
    <s v="09/06/2013"/>
    <m/>
    <m/>
    <s v="Contact : fredberlic@hotmail.com"/>
    <m/>
    <s v="Tarif : 150,00€ / photo ou document"/>
    <m/>
    <m/>
    <x v="2"/>
    <n v="150"/>
    <m/>
    <m/>
    <m/>
  </r>
  <r>
    <s v="A VALIDER"/>
    <s v="des ouvriers français installent des « stops » pour en améliorer la sécurité."/>
    <s v="Shutterstock / Ouvriers travaillant"/>
    <m/>
    <s v="GEDEON/ Stagiaire"/>
    <s v="Deux ouvriers avec des panneaux stop "/>
    <s v="https://www.shutterstock.com/fr/image-vector/man-holding-stop-sign-slow-vector-598945700"/>
    <s v="SHUTTERSTOCK"/>
    <n v="598945700"/>
    <s v="EPS ou JPEG"/>
    <s v="Homme tenant un panneau stop et un panneau lent. "/>
    <s v="Ilustration/ image vectorielle"/>
    <s v="Couleur"/>
    <m/>
    <s v="Yindee"/>
    <s v="Libre de droits"/>
    <s v="Arthur de Rauglaudre :  01 86 26 26 95 aderauglaudre@shutterstock.com"/>
    <m/>
    <n v="15"/>
    <m/>
    <m/>
    <x v="1"/>
    <m/>
    <m/>
    <m/>
    <m/>
  </r>
  <r>
    <s v="A VALIDER"/>
    <m/>
    <s v="Shutterstock / Ouvriers travaillant"/>
    <m/>
    <s v="GEDEON/ Stagiaire"/>
    <s v="Deux ouvriers avec des pelles"/>
    <s v="https://premier.shutterstock.com/image/detail-1937791687/two-construction-workers-shovel-concrete-while-building-a-road-on-a-street-in-the-new-development-area?src=id"/>
    <s v="SHUTTERSTOCK"/>
    <n v="1937791687"/>
    <s v="JPEG"/>
    <s v="Two construction workers shovel concrete while building a road on a street in the new development area"/>
    <s v="Photo"/>
    <m/>
    <m/>
    <s v="Robert Kneschke"/>
    <s v="Libre de droits"/>
    <s v="Arthur de Rauglaudre :  01 86 26 26 95 aderauglaudre@shutterstock.com"/>
    <m/>
    <n v="15"/>
    <m/>
    <m/>
    <x v="0"/>
    <n v="15"/>
    <m/>
    <m/>
    <m/>
  </r>
  <r>
    <s v="A VALIDER"/>
    <m/>
    <s v="Shutterstock / Ouvriers travaillant"/>
    <m/>
    <s v="GEDEON/ Stagiaire"/>
    <s v="Ouvrier avec un marteau piqueur"/>
    <s v="https://www.shutterstock.com/fr/image-photo/men-working-road-construction-1821517055"/>
    <s v="SHUTTERSTOCK"/>
    <n v="1821517055"/>
    <s v="JPEG"/>
    <s v="Les hommes travaillent dans la construction de la route"/>
    <s v="Photo"/>
    <s v="Couleur"/>
    <m/>
    <s v="Laszlo66"/>
    <s v="Libre de droits"/>
    <s v="Arthur de Rauglaudre :  01 86 26 26 95 aderauglaudre@shutterstock.com"/>
    <m/>
    <n v="15"/>
    <m/>
    <m/>
    <x v="3"/>
    <n v="15"/>
    <m/>
    <m/>
    <m/>
  </r>
  <r>
    <m/>
    <s v="La réponse est simple : Llivia ; une ville espagnole, juste à côté, en plein territoire français."/>
    <s v="Carte / Panneau Llivia"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  <r>
    <m/>
    <m/>
    <m/>
    <m/>
    <m/>
    <m/>
    <m/>
    <m/>
    <m/>
    <m/>
    <m/>
    <m/>
    <m/>
    <m/>
    <m/>
    <m/>
    <m/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outline="1" outlineData="1" multipleFieldFilters="0">
  <location ref="A3:C8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'images achetées" fld="22" subtotal="count" baseField="0" baseItem="0"/>
    <dataField name="Somme de synthèse coût" fld="22" baseField="2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leau6" displayName="Tableau6" ref="A1:Z8" totalsRowShown="0" headerRowDxfId="21" headerRowBorderDxfId="20" tableBorderDxfId="19" totalsRowBorderDxfId="18">
  <autoFilter ref="A1:Z8"/>
  <tableColumns count="26">
    <tableColumn id="1" name="A valider / OK si Validé" dataDxfId="17"/>
    <tableColumn id="2" name="Texte"/>
    <tableColumn id="3" name="Recherche" dataDxfId="16"/>
    <tableColumn id="4" name="Infos complémentaires" dataDxfId="15"/>
    <tableColumn id="5" name="Responsable de la recherche" dataDxfId="14"/>
    <tableColumn id="6" name="Descriptif image" dataDxfId="13"/>
    <tableColumn id="7" name="lien source" dataDxfId="12"/>
    <tableColumn id="8" name="source" dataDxfId="11"/>
    <tableColumn id="9" name="Référence (id de la source)" dataDxfId="10" dataCellStyle="Milliers"/>
    <tableColumn id="10" name="Format Image" dataDxfId="9"/>
    <tableColumn id="11" name="Dénomination d'origine (titre, legende …)  " dataDxfId="8"/>
    <tableColumn id="12" name="type (photo, illustration, carte géographique, animation, vidéo, coupure de presse, carte postale...)" dataDxfId="7"/>
    <tableColumn id="13" name="N&amp;B / Sépia/ Couleur" dataDxfId="6"/>
    <tableColumn id="14" name="Date" dataDxfId="5"/>
    <tableColumn id="15" name="ayants-droit/crédits" dataDxfId="4"/>
    <tableColumn id="16" name="Conditions" dataDxfId="3"/>
    <tableColumn id="17" name="contact commercial" dataDxfId="2"/>
    <tableColumn id="18" name="état de la demande (ex : devis demandé, ou clean demandé , ou négo droits en cours depuis le …, délai)" dataDxfId="1"/>
    <tableColumn id="19" name="devis reçu / devis estimé d'après tarifs disponibles" dataDxfId="0"/>
    <tableColumn id="20" name="Time code"/>
    <tableColumn id="21" name="durée extrait"/>
    <tableColumn id="22" name="budget"/>
    <tableColumn id="23" name="synthèse coût"/>
    <tableColumn id="24" name="Frais Techniques"/>
    <tableColumn id="25" name="commentaire sur tarif (minute insécible etc…)"/>
    <tableColumn id="26" name="remarques 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utterstock.com/fr/image-vector/man-holding-stop-sign-slow-vector-598945700" TargetMode="External"/><Relationship Id="rId2" Type="http://schemas.openxmlformats.org/officeDocument/2006/relationships/hyperlink" Target="https://premier.shutterstock.com/image/detail-1937791687/two-construction-workers-shovel-concrete-while-building-a-road-on-a-street-in-the-new-development-area?src=id" TargetMode="External"/><Relationship Id="rId1" Type="http://schemas.openxmlformats.org/officeDocument/2006/relationships/hyperlink" Target="https://www.shutterstock.com/fr/image-photo/men-working-road-construction-1821517055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hutterstock.com/fr/image-vector/man-holding-stop-sign-slow-vector-598945700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premier.shutterstock.com/image/detail-1937791687/two-construction-workers-shovel-concrete-while-building-a-road-on-a-street-in-the-new-development-area?src=id" TargetMode="External"/><Relationship Id="rId1" Type="http://schemas.openxmlformats.org/officeDocument/2006/relationships/hyperlink" Target="https://www.shutterstock.com/fr/image-photo/men-working-road-construction-1821517055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8"/>
  <sheetViews>
    <sheetView workbookViewId="0">
      <selection activeCell="C11" sqref="C11"/>
    </sheetView>
  </sheetViews>
  <sheetFormatPr baseColWidth="10" defaultRowHeight="14" x14ac:dyDescent="0.3"/>
  <cols>
    <col min="1" max="1" width="19.58203125" bestFit="1" customWidth="1"/>
    <col min="2" max="2" width="23.9140625" bestFit="1" customWidth="1"/>
    <col min="3" max="3" width="22.4140625" bestFit="1" customWidth="1"/>
  </cols>
  <sheetData>
    <row r="3" spans="1:3" x14ac:dyDescent="0.3">
      <c r="A3" s="67" t="s">
        <v>82</v>
      </c>
      <c r="B3" t="s">
        <v>87</v>
      </c>
      <c r="C3" t="s">
        <v>85</v>
      </c>
    </row>
    <row r="4" spans="1:3" x14ac:dyDescent="0.3">
      <c r="A4" s="68" t="s">
        <v>81</v>
      </c>
      <c r="B4" s="69">
        <v>2</v>
      </c>
      <c r="C4" s="69">
        <v>165</v>
      </c>
    </row>
    <row r="5" spans="1:3" x14ac:dyDescent="0.3">
      <c r="A5" s="68" t="s">
        <v>83</v>
      </c>
      <c r="B5" s="69"/>
      <c r="C5" s="69"/>
    </row>
    <row r="6" spans="1:3" x14ac:dyDescent="0.3">
      <c r="A6" s="68" t="s">
        <v>86</v>
      </c>
      <c r="B6" s="69">
        <v>1</v>
      </c>
      <c r="C6" s="69">
        <v>15</v>
      </c>
    </row>
    <row r="7" spans="1:3" x14ac:dyDescent="0.3">
      <c r="A7" s="68" t="s">
        <v>88</v>
      </c>
      <c r="B7" s="69">
        <v>1</v>
      </c>
      <c r="C7" s="69">
        <v>150</v>
      </c>
    </row>
    <row r="8" spans="1:3" x14ac:dyDescent="0.3">
      <c r="A8" s="68" t="s">
        <v>84</v>
      </c>
      <c r="B8" s="69">
        <v>4</v>
      </c>
      <c r="C8" s="69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629"/>
  <sheetViews>
    <sheetView tabSelected="1" zoomScale="50" zoomScaleNormal="50" workbookViewId="0">
      <pane xSplit="1" topLeftCell="I1" activePane="topRight" state="frozen"/>
      <selection pane="topRight" activeCell="X6" activeCellId="1" sqref="X6:X8 X6"/>
    </sheetView>
  </sheetViews>
  <sheetFormatPr baseColWidth="10" defaultColWidth="12.58203125" defaultRowHeight="15" customHeight="1" x14ac:dyDescent="0.3"/>
  <cols>
    <col min="1" max="1" width="11.58203125" customWidth="1"/>
    <col min="2" max="2" width="23.58203125" customWidth="1"/>
    <col min="3" max="3" width="12.33203125" customWidth="1"/>
    <col min="4" max="4" width="20.25" customWidth="1"/>
    <col min="5" max="5" width="11" customWidth="1"/>
    <col min="6" max="6" width="11.75" customWidth="1"/>
    <col min="7" max="7" width="12.33203125" customWidth="1"/>
    <col min="8" max="8" width="13.58203125" customWidth="1"/>
    <col min="9" max="9" width="11.25" customWidth="1"/>
    <col min="10" max="10" width="9.33203125" customWidth="1"/>
    <col min="11" max="11" width="16.08203125" customWidth="1"/>
    <col min="12" max="13" width="13.5" customWidth="1"/>
    <col min="14" max="14" width="8.83203125" customWidth="1"/>
    <col min="15" max="15" width="13.75" customWidth="1"/>
    <col min="16" max="16" width="19" customWidth="1"/>
    <col min="17" max="17" width="23.5" customWidth="1"/>
    <col min="18" max="18" width="31.08203125" customWidth="1"/>
    <col min="19" max="19" width="40.33203125" customWidth="1"/>
    <col min="20" max="20" width="11.5" customWidth="1"/>
    <col min="21" max="22" width="13.58203125" customWidth="1"/>
    <col min="23" max="23" width="10.33203125" customWidth="1"/>
    <col min="24" max="24" width="9.5" customWidth="1"/>
    <col min="25" max="25" width="18.58203125" customWidth="1"/>
    <col min="26" max="26" width="39.58203125" customWidth="1"/>
  </cols>
  <sheetData>
    <row r="1" spans="1:29" ht="23.15" customHeight="1" x14ac:dyDescent="0.3">
      <c r="A1" s="98" t="s">
        <v>12</v>
      </c>
      <c r="B1" s="99"/>
      <c r="C1" s="99"/>
      <c r="D1" s="99"/>
      <c r="E1" s="99"/>
      <c r="F1" s="99"/>
      <c r="G1" s="6"/>
      <c r="H1" s="6"/>
      <c r="I1" s="6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spans="1:29" s="20" customFormat="1" ht="19.5" customHeight="1" x14ac:dyDescent="0.35">
      <c r="A2" s="100" t="s">
        <v>24</v>
      </c>
      <c r="B2" s="101"/>
      <c r="C2" s="101"/>
      <c r="D2" s="24"/>
      <c r="E2" s="25"/>
      <c r="F2" s="25"/>
      <c r="G2" s="25"/>
      <c r="H2" s="26"/>
      <c r="I2" s="25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7"/>
    </row>
    <row r="3" spans="1:29" ht="17.149999999999999" customHeight="1" x14ac:dyDescent="0.3">
      <c r="A3" s="19"/>
      <c r="B3" s="54" t="s">
        <v>28</v>
      </c>
      <c r="C3" s="22" t="s">
        <v>25</v>
      </c>
      <c r="D3" s="11"/>
      <c r="E3" s="21"/>
      <c r="F3" s="21"/>
      <c r="G3" s="23"/>
      <c r="H3" s="46"/>
      <c r="I3" s="47"/>
      <c r="J3" s="17"/>
      <c r="K3" s="48"/>
      <c r="L3" s="12"/>
      <c r="M3" s="12"/>
      <c r="N3" s="12"/>
      <c r="O3" s="12"/>
      <c r="P3" s="12"/>
      <c r="Q3" s="12"/>
      <c r="R3" s="12"/>
      <c r="S3" s="13"/>
      <c r="T3" s="12"/>
      <c r="U3" s="12"/>
      <c r="V3" s="12"/>
      <c r="W3" s="61"/>
      <c r="X3" s="12"/>
      <c r="Y3" s="12"/>
      <c r="Z3" s="12"/>
    </row>
    <row r="4" spans="1:29" ht="62.15" customHeight="1" x14ac:dyDescent="0.3">
      <c r="A4" s="28" t="s">
        <v>17</v>
      </c>
      <c r="B4" s="29" t="s">
        <v>18</v>
      </c>
      <c r="C4" s="30" t="s">
        <v>19</v>
      </c>
      <c r="D4" s="31" t="s">
        <v>91</v>
      </c>
      <c r="E4" s="32" t="s">
        <v>22</v>
      </c>
      <c r="F4" s="33" t="s">
        <v>90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4"/>
    </row>
    <row r="5" spans="1:29" ht="74.25" customHeight="1" x14ac:dyDescent="0.3">
      <c r="A5" s="35" t="s">
        <v>23</v>
      </c>
      <c r="B5" s="36" t="s">
        <v>9</v>
      </c>
      <c r="C5" s="36" t="s">
        <v>10</v>
      </c>
      <c r="D5" s="36" t="s">
        <v>30</v>
      </c>
      <c r="E5" s="36" t="s">
        <v>35</v>
      </c>
      <c r="F5" s="36" t="s">
        <v>14</v>
      </c>
      <c r="G5" s="36" t="s">
        <v>13</v>
      </c>
      <c r="H5" s="37" t="s">
        <v>1</v>
      </c>
      <c r="I5" s="36" t="s">
        <v>15</v>
      </c>
      <c r="J5" s="36" t="s">
        <v>40</v>
      </c>
      <c r="K5" s="38" t="s">
        <v>54</v>
      </c>
      <c r="L5" s="38" t="s">
        <v>57</v>
      </c>
      <c r="M5" s="38" t="s">
        <v>58</v>
      </c>
      <c r="N5" s="38" t="s">
        <v>60</v>
      </c>
      <c r="O5" s="38" t="s">
        <v>2</v>
      </c>
      <c r="P5" s="38" t="s">
        <v>16</v>
      </c>
      <c r="Q5" s="37" t="s">
        <v>3</v>
      </c>
      <c r="R5" s="38" t="s">
        <v>4</v>
      </c>
      <c r="S5" s="38" t="s">
        <v>5</v>
      </c>
      <c r="T5" s="38" t="s">
        <v>11</v>
      </c>
      <c r="U5" s="38" t="s">
        <v>0</v>
      </c>
      <c r="V5" s="60" t="s">
        <v>80</v>
      </c>
      <c r="W5" s="39" t="s">
        <v>8</v>
      </c>
      <c r="X5" s="38" t="s">
        <v>6</v>
      </c>
      <c r="Y5" s="38" t="s">
        <v>7</v>
      </c>
      <c r="Z5" s="40" t="s">
        <v>31</v>
      </c>
    </row>
    <row r="6" spans="1:29" ht="48" customHeight="1" x14ac:dyDescent="0.3">
      <c r="A6" s="19" t="s">
        <v>20</v>
      </c>
      <c r="B6" s="42" t="s">
        <v>26</v>
      </c>
      <c r="C6" s="55" t="s">
        <v>55</v>
      </c>
      <c r="D6" s="18" t="s">
        <v>61</v>
      </c>
      <c r="E6" s="18" t="s">
        <v>56</v>
      </c>
      <c r="F6" s="16" t="s">
        <v>67</v>
      </c>
      <c r="G6" s="1" t="s">
        <v>79</v>
      </c>
      <c r="H6" s="14" t="s">
        <v>78</v>
      </c>
      <c r="I6" s="43" t="s">
        <v>62</v>
      </c>
      <c r="J6" s="18" t="s">
        <v>41</v>
      </c>
      <c r="K6" s="16"/>
      <c r="L6" s="1" t="s">
        <v>48</v>
      </c>
      <c r="M6" s="44" t="s">
        <v>59</v>
      </c>
      <c r="N6" s="44"/>
      <c r="O6" s="14"/>
      <c r="P6" s="43"/>
      <c r="Q6" s="18" t="s">
        <v>63</v>
      </c>
      <c r="R6" s="16"/>
      <c r="S6" s="12" t="s">
        <v>64</v>
      </c>
      <c r="T6" s="71"/>
      <c r="U6" s="72"/>
      <c r="V6" s="59" t="s">
        <v>81</v>
      </c>
      <c r="W6" s="73">
        <v>150</v>
      </c>
      <c r="X6" s="70" t="s">
        <v>94</v>
      </c>
      <c r="Y6" s="1"/>
      <c r="Z6" s="14"/>
    </row>
    <row r="7" spans="1:29" ht="164.25" customHeight="1" x14ac:dyDescent="0.3">
      <c r="A7" s="19" t="s">
        <v>20</v>
      </c>
      <c r="B7" s="15"/>
      <c r="C7" s="55" t="s">
        <v>55</v>
      </c>
      <c r="D7" s="18" t="s">
        <v>61</v>
      </c>
      <c r="E7" s="18" t="s">
        <v>56</v>
      </c>
      <c r="F7" s="15" t="s">
        <v>71</v>
      </c>
      <c r="G7" s="1" t="s">
        <v>79</v>
      </c>
      <c r="H7" s="14" t="s">
        <v>78</v>
      </c>
      <c r="I7" s="15" t="s">
        <v>65</v>
      </c>
      <c r="J7" s="18" t="s">
        <v>41</v>
      </c>
      <c r="K7" s="15" t="s">
        <v>75</v>
      </c>
      <c r="L7" s="15" t="s">
        <v>68</v>
      </c>
      <c r="M7" s="15" t="s">
        <v>69</v>
      </c>
      <c r="N7" s="15" t="s">
        <v>70</v>
      </c>
      <c r="O7" s="15"/>
      <c r="P7" s="15"/>
      <c r="Q7" s="15" t="s">
        <v>63</v>
      </c>
      <c r="R7" s="15"/>
      <c r="S7" s="15" t="s">
        <v>64</v>
      </c>
      <c r="T7" s="15"/>
      <c r="U7" s="15"/>
      <c r="V7" s="15" t="s">
        <v>81</v>
      </c>
      <c r="W7" s="62">
        <v>150</v>
      </c>
      <c r="X7" s="15"/>
      <c r="Y7" s="15"/>
      <c r="Z7" s="15"/>
    </row>
    <row r="8" spans="1:29" ht="119.25" customHeight="1" x14ac:dyDescent="0.3">
      <c r="A8" s="19" t="s">
        <v>20</v>
      </c>
      <c r="B8" s="15"/>
      <c r="C8" s="55" t="s">
        <v>55</v>
      </c>
      <c r="D8" s="18" t="s">
        <v>61</v>
      </c>
      <c r="E8" s="18" t="s">
        <v>56</v>
      </c>
      <c r="F8" s="15" t="s">
        <v>73</v>
      </c>
      <c r="G8" s="1" t="s">
        <v>79</v>
      </c>
      <c r="H8" s="14" t="s">
        <v>78</v>
      </c>
      <c r="I8" s="15" t="s">
        <v>66</v>
      </c>
      <c r="J8" s="18" t="s">
        <v>41</v>
      </c>
      <c r="K8" s="15" t="s">
        <v>74</v>
      </c>
      <c r="L8" s="15" t="s">
        <v>68</v>
      </c>
      <c r="M8" s="15" t="s">
        <v>69</v>
      </c>
      <c r="N8" s="15" t="s">
        <v>72</v>
      </c>
      <c r="O8" s="15"/>
      <c r="P8" s="15"/>
      <c r="Q8" s="15" t="s">
        <v>63</v>
      </c>
      <c r="R8" s="15"/>
      <c r="S8" s="15" t="s">
        <v>93</v>
      </c>
      <c r="T8" s="15"/>
      <c r="U8" s="15"/>
      <c r="V8" s="15" t="s">
        <v>88</v>
      </c>
      <c r="W8" s="62">
        <v>250</v>
      </c>
      <c r="X8" s="15" t="s">
        <v>95</v>
      </c>
      <c r="Y8" s="15"/>
      <c r="Z8" s="15"/>
    </row>
    <row r="9" spans="1:29" ht="107.25" customHeight="1" x14ac:dyDescent="0.3">
      <c r="A9" s="19" t="s">
        <v>20</v>
      </c>
      <c r="B9" s="42" t="s">
        <v>27</v>
      </c>
      <c r="C9" s="41" t="s">
        <v>29</v>
      </c>
      <c r="D9" s="1"/>
      <c r="E9" s="1" t="s">
        <v>32</v>
      </c>
      <c r="F9" s="1" t="s">
        <v>53</v>
      </c>
      <c r="G9" s="43" t="s">
        <v>37</v>
      </c>
      <c r="H9" s="18" t="s">
        <v>33</v>
      </c>
      <c r="I9" s="56">
        <v>598945700</v>
      </c>
      <c r="J9" s="18" t="s">
        <v>42</v>
      </c>
      <c r="K9" s="18" t="s">
        <v>38</v>
      </c>
      <c r="L9" s="44" t="s">
        <v>39</v>
      </c>
      <c r="M9" s="15" t="s">
        <v>69</v>
      </c>
      <c r="N9" s="44"/>
      <c r="O9" s="1" t="s">
        <v>43</v>
      </c>
      <c r="P9" s="1" t="s">
        <v>36</v>
      </c>
      <c r="Q9" s="1" t="s">
        <v>44</v>
      </c>
      <c r="R9" s="1"/>
      <c r="S9" s="57">
        <v>15</v>
      </c>
      <c r="T9" s="1"/>
      <c r="U9" s="1"/>
      <c r="V9" s="1" t="s">
        <v>86</v>
      </c>
      <c r="W9" s="63">
        <v>15</v>
      </c>
      <c r="X9" s="1"/>
      <c r="Y9" s="1"/>
      <c r="Z9" s="1"/>
    </row>
    <row r="10" spans="1:29" ht="108.75" customHeight="1" x14ac:dyDescent="0.3">
      <c r="A10" s="42" t="s">
        <v>20</v>
      </c>
      <c r="B10" s="16"/>
      <c r="C10" s="41" t="s">
        <v>29</v>
      </c>
      <c r="D10" s="16"/>
      <c r="E10" s="1" t="s">
        <v>32</v>
      </c>
      <c r="F10" s="14" t="s">
        <v>52</v>
      </c>
      <c r="G10" s="43" t="s">
        <v>34</v>
      </c>
      <c r="H10" s="18" t="s">
        <v>33</v>
      </c>
      <c r="I10" s="56">
        <v>1937791687</v>
      </c>
      <c r="J10" s="18" t="s">
        <v>41</v>
      </c>
      <c r="K10" s="51" t="s">
        <v>47</v>
      </c>
      <c r="L10" s="52" t="s">
        <v>48</v>
      </c>
      <c r="M10" s="52"/>
      <c r="N10" s="52"/>
      <c r="O10" s="1" t="s">
        <v>49</v>
      </c>
      <c r="P10" s="1" t="s">
        <v>36</v>
      </c>
      <c r="Q10" s="1" t="s">
        <v>44</v>
      </c>
      <c r="R10" s="3"/>
      <c r="S10" s="57">
        <v>15</v>
      </c>
      <c r="T10" s="3"/>
      <c r="U10" s="3"/>
      <c r="V10" s="3" t="s">
        <v>81</v>
      </c>
      <c r="W10" s="64">
        <v>15</v>
      </c>
      <c r="X10" s="3"/>
      <c r="Y10" s="3"/>
      <c r="Z10" s="3"/>
    </row>
    <row r="11" spans="1:29" ht="86.25" customHeight="1" thickBot="1" x14ac:dyDescent="0.35">
      <c r="A11" s="42" t="s">
        <v>20</v>
      </c>
      <c r="B11" s="11"/>
      <c r="C11" s="41" t="s">
        <v>29</v>
      </c>
      <c r="D11" s="11"/>
      <c r="E11" s="1" t="s">
        <v>32</v>
      </c>
      <c r="F11" s="2" t="s">
        <v>45</v>
      </c>
      <c r="G11" s="50" t="s">
        <v>46</v>
      </c>
      <c r="H11" s="18" t="s">
        <v>33</v>
      </c>
      <c r="I11" s="56">
        <v>1821517055</v>
      </c>
      <c r="J11" s="18" t="s">
        <v>41</v>
      </c>
      <c r="K11" s="51" t="s">
        <v>51</v>
      </c>
      <c r="L11" s="52" t="s">
        <v>48</v>
      </c>
      <c r="M11" s="15" t="s">
        <v>69</v>
      </c>
      <c r="N11" s="52"/>
      <c r="O11" s="1" t="s">
        <v>50</v>
      </c>
      <c r="P11" s="1" t="s">
        <v>36</v>
      </c>
      <c r="Q11" s="53" t="s">
        <v>44</v>
      </c>
      <c r="R11" s="3"/>
      <c r="S11" s="57">
        <v>35</v>
      </c>
      <c r="T11" s="3"/>
      <c r="U11" s="3"/>
      <c r="V11" s="3" t="s">
        <v>86</v>
      </c>
      <c r="W11" s="64">
        <v>35</v>
      </c>
      <c r="X11" s="3"/>
      <c r="Y11" s="3"/>
      <c r="Z11" s="3"/>
    </row>
    <row r="12" spans="1:29" ht="57" customHeight="1" thickBot="1" x14ac:dyDescent="0.35">
      <c r="A12" s="2"/>
      <c r="B12" s="10" t="s">
        <v>76</v>
      </c>
      <c r="C12" s="58" t="s">
        <v>77</v>
      </c>
      <c r="D12" s="2"/>
      <c r="E12" s="2"/>
      <c r="F12" s="2"/>
      <c r="G12" s="2"/>
      <c r="H12" s="11"/>
      <c r="I12" s="16"/>
      <c r="J12" s="49"/>
      <c r="K12" s="45"/>
      <c r="L12" s="16"/>
      <c r="M12" s="3"/>
      <c r="N12" s="3"/>
      <c r="O12" s="3"/>
      <c r="P12" s="45"/>
      <c r="Q12" s="3"/>
      <c r="R12" s="3"/>
      <c r="S12" s="3"/>
      <c r="T12" s="3"/>
      <c r="U12" s="3"/>
      <c r="V12" s="3"/>
      <c r="W12" s="64"/>
      <c r="X12" s="9"/>
      <c r="Y12" s="9"/>
      <c r="Z12" s="9"/>
      <c r="AA12" s="9"/>
      <c r="AB12" s="9"/>
    </row>
    <row r="13" spans="1:29" ht="15.75" customHeight="1" thickBot="1" x14ac:dyDescent="0.35">
      <c r="A13" s="2"/>
      <c r="B13" s="2"/>
      <c r="C13" s="2"/>
      <c r="D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64"/>
      <c r="X13" s="9"/>
      <c r="Y13" s="9"/>
      <c r="Z13" s="9"/>
      <c r="AA13" s="9"/>
      <c r="AB13" s="9"/>
    </row>
    <row r="14" spans="1:29" ht="15.75" customHeight="1" thickBot="1" x14ac:dyDescent="0.35">
      <c r="A14" s="2"/>
      <c r="B14" s="2"/>
      <c r="C14" s="2"/>
      <c r="D14" s="2"/>
      <c r="E14" s="2"/>
      <c r="F14" s="2"/>
      <c r="G14" s="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65"/>
      <c r="X14" s="9"/>
      <c r="Y14" s="9"/>
      <c r="Z14" s="9"/>
      <c r="AA14" s="9"/>
      <c r="AB14" s="9"/>
      <c r="AC14" s="9"/>
    </row>
    <row r="15" spans="1:29" ht="15.75" customHeight="1" thickBot="1" x14ac:dyDescent="0.35">
      <c r="A15" s="2"/>
      <c r="B15" s="2"/>
      <c r="C15" s="2"/>
      <c r="D15" s="2"/>
      <c r="E15" s="2"/>
      <c r="F15" s="2"/>
      <c r="G15" s="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65"/>
      <c r="X15" s="9"/>
      <c r="Y15" s="9"/>
      <c r="Z15" s="9"/>
      <c r="AA15" s="9"/>
      <c r="AB15" s="9"/>
      <c r="AC15" s="9"/>
    </row>
    <row r="16" spans="1:29" ht="15.75" customHeight="1" thickBot="1" x14ac:dyDescent="0.35">
      <c r="A16" s="2"/>
      <c r="B16" s="2"/>
      <c r="C16" s="2"/>
      <c r="D16" s="2"/>
      <c r="E16" s="2"/>
      <c r="F16" s="2"/>
      <c r="G16" s="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65"/>
      <c r="X16" s="9"/>
      <c r="Y16" s="9"/>
      <c r="Z16" s="9"/>
      <c r="AA16" s="9"/>
      <c r="AB16" s="9"/>
      <c r="AC16" s="9"/>
    </row>
    <row r="17" spans="1:26" ht="15.75" customHeight="1" x14ac:dyDescent="0.3">
      <c r="A17" s="2"/>
      <c r="B17" s="2"/>
      <c r="C17" s="2"/>
      <c r="D17" s="2"/>
      <c r="E17" s="2"/>
      <c r="F17" s="2"/>
      <c r="G17" s="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64"/>
      <c r="X17" s="3"/>
      <c r="Y17" s="3"/>
      <c r="Z17" s="3"/>
    </row>
    <row r="18" spans="1:26" ht="15.75" customHeight="1" x14ac:dyDescent="0.3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64"/>
      <c r="X18" s="3"/>
      <c r="Y18" s="3"/>
      <c r="Z18" s="3"/>
    </row>
    <row r="19" spans="1:26" ht="15.75" customHeight="1" x14ac:dyDescent="0.3">
      <c r="A19" s="2"/>
      <c r="B19" s="2"/>
      <c r="C19" s="2"/>
      <c r="D19" s="2"/>
      <c r="E19" s="2"/>
      <c r="F19" s="2"/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64"/>
      <c r="X19" s="3"/>
      <c r="Y19" s="3"/>
      <c r="Z19" s="3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64"/>
      <c r="X20" s="3"/>
      <c r="Y20" s="3"/>
      <c r="Z20" s="3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3"/>
      <c r="I21" s="2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64"/>
      <c r="X21" s="3"/>
      <c r="Y21" s="3"/>
      <c r="Z21" s="3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3"/>
      <c r="I22" s="2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64"/>
      <c r="X22" s="3"/>
      <c r="Y22" s="3"/>
      <c r="Z22" s="3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3"/>
      <c r="I23" s="2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64"/>
      <c r="X23" s="3"/>
      <c r="Y23" s="3"/>
      <c r="Z23" s="3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3"/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64"/>
      <c r="X24" s="3"/>
      <c r="Y24" s="3"/>
      <c r="Z24" s="3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3"/>
      <c r="I25" s="2"/>
      <c r="J25" s="2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64"/>
      <c r="X25" s="3"/>
      <c r="Y25" s="3"/>
      <c r="Z25" s="3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3"/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64"/>
      <c r="X26" s="3"/>
      <c r="Y26" s="3"/>
      <c r="Z26" s="3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3"/>
      <c r="I27" s="2"/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64"/>
      <c r="X27" s="3"/>
      <c r="Y27" s="3"/>
      <c r="Z27" s="3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3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64"/>
      <c r="X28" s="3"/>
      <c r="Y28" s="3"/>
      <c r="Z28" s="3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3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64"/>
      <c r="X29" s="3"/>
      <c r="Y29" s="3"/>
      <c r="Z29" s="3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3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64"/>
      <c r="X30" s="3"/>
      <c r="Y30" s="3"/>
      <c r="Z30" s="3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3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64"/>
      <c r="X31" s="3"/>
      <c r="Y31" s="3"/>
      <c r="Z31" s="3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3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64"/>
      <c r="X32" s="3"/>
      <c r="Y32" s="3"/>
      <c r="Z32" s="3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3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64"/>
      <c r="X33" s="3"/>
      <c r="Y33" s="3"/>
      <c r="Z33" s="3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3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64"/>
      <c r="X34" s="3"/>
      <c r="Y34" s="3"/>
      <c r="Z34" s="3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3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64"/>
      <c r="X35" s="3"/>
      <c r="Y35" s="3"/>
      <c r="Z35" s="3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3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64"/>
      <c r="X36" s="3"/>
      <c r="Y36" s="3"/>
      <c r="Z36" s="3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3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64"/>
      <c r="X37" s="3"/>
      <c r="Y37" s="3"/>
      <c r="Z37" s="3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3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64"/>
      <c r="X38" s="3"/>
      <c r="Y38" s="3"/>
      <c r="Z38" s="3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3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64"/>
      <c r="X39" s="3"/>
      <c r="Y39" s="3"/>
      <c r="Z39" s="3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3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64"/>
      <c r="X40" s="3"/>
      <c r="Y40" s="3"/>
      <c r="Z40" s="3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3"/>
      <c r="I41" s="2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64"/>
      <c r="X41" s="3"/>
      <c r="Y41" s="3"/>
      <c r="Z41" s="3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3"/>
      <c r="I42" s="2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64"/>
      <c r="X42" s="3"/>
      <c r="Y42" s="3"/>
      <c r="Z42" s="3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3"/>
      <c r="I43" s="2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4"/>
      <c r="X43" s="3"/>
      <c r="Y43" s="3"/>
      <c r="Z43" s="3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3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64"/>
      <c r="X44" s="3"/>
      <c r="Y44" s="3"/>
      <c r="Z44" s="3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3"/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64"/>
      <c r="X45" s="3"/>
      <c r="Y45" s="3"/>
      <c r="Z45" s="3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3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64"/>
      <c r="X46" s="3"/>
      <c r="Y46" s="3"/>
      <c r="Z46" s="3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3"/>
      <c r="I47" s="2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64"/>
      <c r="X47" s="3"/>
      <c r="Y47" s="3"/>
      <c r="Z47" s="3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3"/>
      <c r="I48" s="2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64"/>
      <c r="X48" s="3"/>
      <c r="Y48" s="3"/>
      <c r="Z48" s="3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3"/>
      <c r="I49" s="2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64"/>
      <c r="X49" s="3"/>
      <c r="Y49" s="3"/>
      <c r="Z49" s="3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3"/>
      <c r="I50" s="2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64"/>
      <c r="X50" s="3"/>
      <c r="Y50" s="3"/>
      <c r="Z50" s="3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3"/>
      <c r="I51" s="2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64"/>
      <c r="X51" s="3"/>
      <c r="Y51" s="3"/>
      <c r="Z51" s="3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3"/>
      <c r="I52" s="2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64"/>
      <c r="X52" s="3"/>
      <c r="Y52" s="3"/>
      <c r="Z52" s="3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3"/>
      <c r="I53" s="2"/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64"/>
      <c r="X53" s="3"/>
      <c r="Y53" s="3"/>
      <c r="Z53" s="3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3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64"/>
      <c r="X54" s="3"/>
      <c r="Y54" s="3"/>
      <c r="Z54" s="3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3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64"/>
      <c r="X55" s="3"/>
      <c r="Y55" s="3"/>
      <c r="Z55" s="3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3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64"/>
      <c r="X56" s="3"/>
      <c r="Y56" s="3"/>
      <c r="Z56" s="3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3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64"/>
      <c r="X57" s="3"/>
      <c r="Y57" s="3"/>
      <c r="Z57" s="3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3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64"/>
      <c r="X58" s="3"/>
      <c r="Y58" s="3"/>
      <c r="Z58" s="3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3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64"/>
      <c r="X59" s="3"/>
      <c r="Y59" s="3"/>
      <c r="Z59" s="3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3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64"/>
      <c r="X60" s="3"/>
      <c r="Y60" s="3"/>
      <c r="Z60" s="3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3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64"/>
      <c r="X61" s="3"/>
      <c r="Y61" s="3"/>
      <c r="Z61" s="3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3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64"/>
      <c r="X62" s="3"/>
      <c r="Y62" s="3"/>
      <c r="Z62" s="3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3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64"/>
      <c r="X63" s="3"/>
      <c r="Y63" s="3"/>
      <c r="Z63" s="3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3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64"/>
      <c r="X64" s="3"/>
      <c r="Y64" s="3"/>
      <c r="Z64" s="3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3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64"/>
      <c r="X65" s="3"/>
      <c r="Y65" s="3"/>
      <c r="Z65" s="3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3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64"/>
      <c r="X66" s="3"/>
      <c r="Y66" s="3"/>
      <c r="Z66" s="3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3"/>
      <c r="I67" s="2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64"/>
      <c r="X67" s="3"/>
      <c r="Y67" s="3"/>
      <c r="Z67" s="3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3"/>
      <c r="I68" s="2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64"/>
      <c r="X68" s="3"/>
      <c r="Y68" s="3"/>
      <c r="Z68" s="3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3"/>
      <c r="I69" s="2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64"/>
      <c r="X69" s="3"/>
      <c r="Y69" s="3"/>
      <c r="Z69" s="3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3"/>
      <c r="I70" s="2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64"/>
      <c r="X70" s="3"/>
      <c r="Y70" s="3"/>
      <c r="Z70" s="3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3"/>
      <c r="I71" s="2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64"/>
      <c r="X71" s="3"/>
      <c r="Y71" s="3"/>
      <c r="Z71" s="3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3"/>
      <c r="I72" s="2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64"/>
      <c r="X72" s="3"/>
      <c r="Y72" s="3"/>
      <c r="Z72" s="3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3"/>
      <c r="I73" s="2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64"/>
      <c r="X73" s="3"/>
      <c r="Y73" s="3"/>
      <c r="Z73" s="3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3"/>
      <c r="I74" s="2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64"/>
      <c r="X74" s="3"/>
      <c r="Y74" s="3"/>
      <c r="Z74" s="3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3"/>
      <c r="I75" s="2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64"/>
      <c r="X75" s="3"/>
      <c r="Y75" s="3"/>
      <c r="Z75" s="3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3"/>
      <c r="I76" s="2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64"/>
      <c r="X76" s="3"/>
      <c r="Y76" s="3"/>
      <c r="Z76" s="3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3"/>
      <c r="I77" s="2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64"/>
      <c r="X77" s="3"/>
      <c r="Y77" s="3"/>
      <c r="Z77" s="3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3"/>
      <c r="I78" s="2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64"/>
      <c r="X78" s="3"/>
      <c r="Y78" s="3"/>
      <c r="Z78" s="3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3"/>
      <c r="I79" s="2"/>
      <c r="J79" s="2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64"/>
      <c r="X79" s="3"/>
      <c r="Y79" s="3"/>
      <c r="Z79" s="3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3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64"/>
      <c r="X80" s="3"/>
      <c r="Y80" s="3"/>
      <c r="Z80" s="3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3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64"/>
      <c r="X81" s="3"/>
      <c r="Y81" s="3"/>
      <c r="Z81" s="3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3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64"/>
      <c r="X82" s="3"/>
      <c r="Y82" s="3"/>
      <c r="Z82" s="3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3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64"/>
      <c r="X83" s="3"/>
      <c r="Y83" s="3"/>
      <c r="Z83" s="3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3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64"/>
      <c r="X84" s="3"/>
      <c r="Y84" s="3"/>
      <c r="Z84" s="3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3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64"/>
      <c r="X85" s="3"/>
      <c r="Y85" s="3"/>
      <c r="Z85" s="3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3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64"/>
      <c r="X86" s="3"/>
      <c r="Y86" s="3"/>
      <c r="Z86" s="3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3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64"/>
      <c r="X87" s="3"/>
      <c r="Y87" s="3"/>
      <c r="Z87" s="3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3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64"/>
      <c r="X88" s="3"/>
      <c r="Y88" s="3"/>
      <c r="Z88" s="3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3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64"/>
      <c r="X89" s="3"/>
      <c r="Y89" s="3"/>
      <c r="Z89" s="3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3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64"/>
      <c r="X90" s="3"/>
      <c r="Y90" s="3"/>
      <c r="Z90" s="3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3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64"/>
      <c r="X91" s="3"/>
      <c r="Y91" s="3"/>
      <c r="Z91" s="3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3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64"/>
      <c r="X92" s="3"/>
      <c r="Y92" s="3"/>
      <c r="Z92" s="3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3"/>
      <c r="I93" s="2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64"/>
      <c r="X93" s="3"/>
      <c r="Y93" s="3"/>
      <c r="Z93" s="3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3"/>
      <c r="I94" s="2"/>
      <c r="J94" s="2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64"/>
      <c r="X94" s="3"/>
      <c r="Y94" s="3"/>
      <c r="Z94" s="3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3"/>
      <c r="I95" s="2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64"/>
      <c r="X95" s="3"/>
      <c r="Y95" s="3"/>
      <c r="Z95" s="3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3"/>
      <c r="I96" s="2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64"/>
      <c r="X96" s="3"/>
      <c r="Y96" s="3"/>
      <c r="Z96" s="3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3"/>
      <c r="I97" s="2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64"/>
      <c r="X97" s="3"/>
      <c r="Y97" s="3"/>
      <c r="Z97" s="3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3"/>
      <c r="I98" s="2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64"/>
      <c r="X98" s="3"/>
      <c r="Y98" s="3"/>
      <c r="Z98" s="3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3"/>
      <c r="I99" s="2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64"/>
      <c r="X99" s="3"/>
      <c r="Y99" s="3"/>
      <c r="Z99" s="3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3"/>
      <c r="I100" s="2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64"/>
      <c r="X100" s="3"/>
      <c r="Y100" s="3"/>
      <c r="Z100" s="3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3"/>
      <c r="I101" s="2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64"/>
      <c r="X101" s="3"/>
      <c r="Y101" s="3"/>
      <c r="Z101" s="3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3"/>
      <c r="I102" s="2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64"/>
      <c r="X102" s="3"/>
      <c r="Y102" s="3"/>
      <c r="Z102" s="3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3"/>
      <c r="I103" s="2"/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64"/>
      <c r="X103" s="3"/>
      <c r="Y103" s="3"/>
      <c r="Z103" s="3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3"/>
      <c r="I104" s="2"/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64"/>
      <c r="X104" s="3"/>
      <c r="Y104" s="3"/>
      <c r="Z104" s="3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3"/>
      <c r="I105" s="2"/>
      <c r="J105" s="2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64"/>
      <c r="X105" s="3"/>
      <c r="Y105" s="3"/>
      <c r="Z105" s="3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3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64"/>
      <c r="X106" s="3"/>
      <c r="Y106" s="3"/>
      <c r="Z106" s="3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3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64"/>
      <c r="X107" s="3"/>
      <c r="Y107" s="3"/>
      <c r="Z107" s="3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3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64"/>
      <c r="X108" s="3"/>
      <c r="Y108" s="3"/>
      <c r="Z108" s="3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3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64"/>
      <c r="X109" s="3"/>
      <c r="Y109" s="3"/>
      <c r="Z109" s="3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3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64"/>
      <c r="X110" s="3"/>
      <c r="Y110" s="3"/>
      <c r="Z110" s="3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3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64"/>
      <c r="X111" s="3"/>
      <c r="Y111" s="3"/>
      <c r="Z111" s="3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3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64"/>
      <c r="X112" s="3"/>
      <c r="Y112" s="3"/>
      <c r="Z112" s="3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3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64"/>
      <c r="X113" s="3"/>
      <c r="Y113" s="3"/>
      <c r="Z113" s="3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3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64"/>
      <c r="X114" s="3"/>
      <c r="Y114" s="3"/>
      <c r="Z114" s="3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3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64"/>
      <c r="X115" s="3"/>
      <c r="Y115" s="3"/>
      <c r="Z115" s="3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3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64"/>
      <c r="X116" s="3"/>
      <c r="Y116" s="3"/>
      <c r="Z116" s="3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3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64"/>
      <c r="X117" s="3"/>
      <c r="Y117" s="3"/>
      <c r="Z117" s="3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3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64"/>
      <c r="X118" s="3"/>
      <c r="Y118" s="3"/>
      <c r="Z118" s="3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3"/>
      <c r="I119" s="2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64"/>
      <c r="X119" s="3"/>
      <c r="Y119" s="3"/>
      <c r="Z119" s="3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3"/>
      <c r="I120" s="2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64"/>
      <c r="X120" s="3"/>
      <c r="Y120" s="3"/>
      <c r="Z120" s="3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3"/>
      <c r="I121" s="2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64"/>
      <c r="X121" s="3"/>
      <c r="Y121" s="3"/>
      <c r="Z121" s="3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3"/>
      <c r="I122" s="2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64"/>
      <c r="X122" s="3"/>
      <c r="Y122" s="3"/>
      <c r="Z122" s="3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3"/>
      <c r="I123" s="2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64"/>
      <c r="X123" s="3"/>
      <c r="Y123" s="3"/>
      <c r="Z123" s="3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3"/>
      <c r="I124" s="2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64"/>
      <c r="X124" s="3"/>
      <c r="Y124" s="3"/>
      <c r="Z124" s="3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3"/>
      <c r="I125" s="2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64"/>
      <c r="X125" s="3"/>
      <c r="Y125" s="3"/>
      <c r="Z125" s="3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3"/>
      <c r="I126" s="2"/>
      <c r="J126" s="2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64"/>
      <c r="X126" s="3"/>
      <c r="Y126" s="3"/>
      <c r="Z126" s="3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3"/>
      <c r="I127" s="2"/>
      <c r="J127" s="2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64"/>
      <c r="X127" s="3"/>
      <c r="Y127" s="3"/>
      <c r="Z127" s="3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3"/>
      <c r="I128" s="2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64"/>
      <c r="X128" s="3"/>
      <c r="Y128" s="3"/>
      <c r="Z128" s="3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3"/>
      <c r="I129" s="2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64"/>
      <c r="X129" s="3"/>
      <c r="Y129" s="3"/>
      <c r="Z129" s="3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3"/>
      <c r="I130" s="2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64"/>
      <c r="X130" s="3"/>
      <c r="Y130" s="3"/>
      <c r="Z130" s="3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3"/>
      <c r="I131" s="2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64"/>
      <c r="X131" s="3"/>
      <c r="Y131" s="3"/>
      <c r="Z131" s="3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3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64"/>
      <c r="X132" s="3"/>
      <c r="Y132" s="3"/>
      <c r="Z132" s="3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3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64"/>
      <c r="X133" s="3"/>
      <c r="Y133" s="3"/>
      <c r="Z133" s="3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3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64"/>
      <c r="X134" s="3"/>
      <c r="Y134" s="3"/>
      <c r="Z134" s="3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3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64"/>
      <c r="X135" s="3"/>
      <c r="Y135" s="3"/>
      <c r="Z135" s="3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3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64"/>
      <c r="X136" s="3"/>
      <c r="Y136" s="3"/>
      <c r="Z136" s="3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3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64"/>
      <c r="X137" s="3"/>
      <c r="Y137" s="3"/>
      <c r="Z137" s="3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3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64"/>
      <c r="X138" s="3"/>
      <c r="Y138" s="3"/>
      <c r="Z138" s="3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3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64"/>
      <c r="X139" s="3"/>
      <c r="Y139" s="3"/>
      <c r="Z139" s="3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3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64"/>
      <c r="X140" s="3"/>
      <c r="Y140" s="3"/>
      <c r="Z140" s="3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3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64"/>
      <c r="X141" s="3"/>
      <c r="Y141" s="3"/>
      <c r="Z141" s="3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3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64"/>
      <c r="X142" s="3"/>
      <c r="Y142" s="3"/>
      <c r="Z142" s="3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3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64"/>
      <c r="X143" s="3"/>
      <c r="Y143" s="3"/>
      <c r="Z143" s="3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3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64"/>
      <c r="X144" s="3"/>
      <c r="Y144" s="3"/>
      <c r="Z144" s="3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3"/>
      <c r="I145" s="2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64"/>
      <c r="X145" s="3"/>
      <c r="Y145" s="3"/>
      <c r="Z145" s="3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3"/>
      <c r="I146" s="2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64"/>
      <c r="X146" s="3"/>
      <c r="Y146" s="3"/>
      <c r="Z146" s="3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3"/>
      <c r="I147" s="2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64"/>
      <c r="X147" s="3"/>
      <c r="Y147" s="3"/>
      <c r="Z147" s="3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3"/>
      <c r="I148" s="2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64"/>
      <c r="X148" s="3"/>
      <c r="Y148" s="3"/>
      <c r="Z148" s="3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3"/>
      <c r="I149" s="2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64"/>
      <c r="X149" s="3"/>
      <c r="Y149" s="3"/>
      <c r="Z149" s="3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3"/>
      <c r="I150" s="2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64"/>
      <c r="X150" s="3"/>
      <c r="Y150" s="3"/>
      <c r="Z150" s="3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3"/>
      <c r="I151" s="2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64"/>
      <c r="X151" s="3"/>
      <c r="Y151" s="3"/>
      <c r="Z151" s="3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3"/>
      <c r="I152" s="2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64"/>
      <c r="X152" s="3"/>
      <c r="Y152" s="3"/>
      <c r="Z152" s="3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3"/>
      <c r="I153" s="2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64"/>
      <c r="X153" s="3"/>
      <c r="Y153" s="3"/>
      <c r="Z153" s="3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3"/>
      <c r="I154" s="2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64"/>
      <c r="X154" s="3"/>
      <c r="Y154" s="3"/>
      <c r="Z154" s="3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3"/>
      <c r="I155" s="2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64"/>
      <c r="X155" s="3"/>
      <c r="Y155" s="3"/>
      <c r="Z155" s="3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3"/>
      <c r="I156" s="2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64"/>
      <c r="X156" s="3"/>
      <c r="Y156" s="3"/>
      <c r="Z156" s="3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3"/>
      <c r="I157" s="2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64"/>
      <c r="X157" s="3"/>
      <c r="Y157" s="3"/>
      <c r="Z157" s="3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3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64"/>
      <c r="X158" s="3"/>
      <c r="Y158" s="3"/>
      <c r="Z158" s="3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3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64"/>
      <c r="X159" s="3"/>
      <c r="Y159" s="3"/>
      <c r="Z159" s="3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3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64"/>
      <c r="X160" s="3"/>
      <c r="Y160" s="3"/>
      <c r="Z160" s="3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3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64"/>
      <c r="X161" s="3"/>
      <c r="Y161" s="3"/>
      <c r="Z161" s="3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3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64"/>
      <c r="X162" s="3"/>
      <c r="Y162" s="3"/>
      <c r="Z162" s="3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3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64"/>
      <c r="X163" s="3"/>
      <c r="Y163" s="3"/>
      <c r="Z163" s="3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3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64"/>
      <c r="X164" s="3"/>
      <c r="Y164" s="3"/>
      <c r="Z164" s="3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3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64"/>
      <c r="X165" s="3"/>
      <c r="Y165" s="3"/>
      <c r="Z165" s="3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3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64"/>
      <c r="X166" s="3"/>
      <c r="Y166" s="3"/>
      <c r="Z166" s="3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3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64"/>
      <c r="X167" s="3"/>
      <c r="Y167" s="3"/>
      <c r="Z167" s="3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3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64"/>
      <c r="X168" s="3"/>
      <c r="Y168" s="3"/>
      <c r="Z168" s="3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3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64"/>
      <c r="X169" s="3"/>
      <c r="Y169" s="3"/>
      <c r="Z169" s="3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3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64"/>
      <c r="X170" s="3"/>
      <c r="Y170" s="3"/>
      <c r="Z170" s="3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3"/>
      <c r="I171" s="2"/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64"/>
      <c r="X171" s="3"/>
      <c r="Y171" s="3"/>
      <c r="Z171" s="3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3"/>
      <c r="I172" s="2"/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64"/>
      <c r="X172" s="3"/>
      <c r="Y172" s="3"/>
      <c r="Z172" s="3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3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64"/>
      <c r="X173" s="3"/>
      <c r="Y173" s="3"/>
      <c r="Z173" s="3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3"/>
      <c r="I174" s="2"/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64"/>
      <c r="X174" s="3"/>
      <c r="Y174" s="3"/>
      <c r="Z174" s="3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3"/>
      <c r="I175" s="2"/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64"/>
      <c r="X175" s="3"/>
      <c r="Y175" s="3"/>
      <c r="Z175" s="3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3"/>
      <c r="I176" s="2"/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64"/>
      <c r="X176" s="3"/>
      <c r="Y176" s="3"/>
      <c r="Z176" s="3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3"/>
      <c r="I177" s="2"/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64"/>
      <c r="X177" s="3"/>
      <c r="Y177" s="3"/>
      <c r="Z177" s="3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3"/>
      <c r="I178" s="2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64"/>
      <c r="X178" s="3"/>
      <c r="Y178" s="3"/>
      <c r="Z178" s="3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3"/>
      <c r="I179" s="2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64"/>
      <c r="X179" s="3"/>
      <c r="Y179" s="3"/>
      <c r="Z179" s="3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3"/>
      <c r="I180" s="2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64"/>
      <c r="X180" s="3"/>
      <c r="Y180" s="3"/>
      <c r="Z180" s="3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3"/>
      <c r="I181" s="2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64"/>
      <c r="X181" s="3"/>
      <c r="Y181" s="3"/>
      <c r="Z181" s="3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3"/>
      <c r="I182" s="2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64"/>
      <c r="X182" s="3"/>
      <c r="Y182" s="3"/>
      <c r="Z182" s="3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3"/>
      <c r="I183" s="2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64"/>
      <c r="X183" s="3"/>
      <c r="Y183" s="3"/>
      <c r="Z183" s="3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3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64"/>
      <c r="X184" s="3"/>
      <c r="Y184" s="3"/>
      <c r="Z184" s="3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3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64"/>
      <c r="X185" s="3"/>
      <c r="Y185" s="3"/>
      <c r="Z185" s="3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3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64"/>
      <c r="X186" s="3"/>
      <c r="Y186" s="3"/>
      <c r="Z186" s="3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3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64"/>
      <c r="X187" s="3"/>
      <c r="Y187" s="3"/>
      <c r="Z187" s="3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3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64"/>
      <c r="X188" s="3"/>
      <c r="Y188" s="3"/>
      <c r="Z188" s="3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3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64"/>
      <c r="X189" s="3"/>
      <c r="Y189" s="3"/>
      <c r="Z189" s="3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3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64"/>
      <c r="X190" s="3"/>
      <c r="Y190" s="3"/>
      <c r="Z190" s="3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3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64"/>
      <c r="X191" s="3"/>
      <c r="Y191" s="3"/>
      <c r="Z191" s="3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3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64"/>
      <c r="X192" s="3"/>
      <c r="Y192" s="3"/>
      <c r="Z192" s="3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3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64"/>
      <c r="X193" s="3"/>
      <c r="Y193" s="3"/>
      <c r="Z193" s="3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3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64"/>
      <c r="X194" s="3"/>
      <c r="Y194" s="3"/>
      <c r="Z194" s="3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3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64"/>
      <c r="X195" s="3"/>
      <c r="Y195" s="3"/>
      <c r="Z195" s="3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3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64"/>
      <c r="X196" s="3"/>
      <c r="Y196" s="3"/>
      <c r="Z196" s="3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3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64"/>
      <c r="X197" s="3"/>
      <c r="Y197" s="3"/>
      <c r="Z197" s="3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3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64"/>
      <c r="X198" s="3"/>
      <c r="Y198" s="3"/>
      <c r="Z198" s="3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3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64"/>
      <c r="X199" s="3"/>
      <c r="Y199" s="3"/>
      <c r="Z199" s="3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3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64"/>
      <c r="X200" s="3"/>
      <c r="Y200" s="3"/>
      <c r="Z200" s="3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3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64"/>
      <c r="X201" s="3"/>
      <c r="Y201" s="3"/>
      <c r="Z201" s="3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3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64"/>
      <c r="X202" s="3"/>
      <c r="Y202" s="3"/>
      <c r="Z202" s="3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3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64"/>
      <c r="X203" s="3"/>
      <c r="Y203" s="3"/>
      <c r="Z203" s="3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3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64"/>
      <c r="X204" s="3"/>
      <c r="Y204" s="3"/>
      <c r="Z204" s="3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3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64"/>
      <c r="X205" s="3"/>
      <c r="Y205" s="3"/>
      <c r="Z205" s="3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3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64"/>
      <c r="X206" s="3"/>
      <c r="Y206" s="3"/>
      <c r="Z206" s="3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3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64"/>
      <c r="X207" s="3"/>
      <c r="Y207" s="3"/>
      <c r="Z207" s="3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3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64"/>
      <c r="X208" s="3"/>
      <c r="Y208" s="3"/>
      <c r="Z208" s="3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3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64"/>
      <c r="X209" s="3"/>
      <c r="Y209" s="3"/>
      <c r="Z209" s="3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3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64"/>
      <c r="X210" s="3"/>
      <c r="Y210" s="3"/>
      <c r="Z210" s="3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3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64"/>
      <c r="X211" s="3"/>
      <c r="Y211" s="3"/>
      <c r="Z211" s="3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3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64"/>
      <c r="X212" s="3"/>
      <c r="Y212" s="3"/>
      <c r="Z212" s="3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3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64"/>
      <c r="X213" s="3"/>
      <c r="Y213" s="3"/>
      <c r="Z213" s="3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3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64"/>
      <c r="X214" s="3"/>
      <c r="Y214" s="3"/>
      <c r="Z214" s="3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3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64"/>
      <c r="X215" s="3"/>
      <c r="Y215" s="3"/>
      <c r="Z215" s="3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3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64"/>
      <c r="X216" s="3"/>
      <c r="Y216" s="3"/>
      <c r="Z216" s="3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3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64"/>
      <c r="X217" s="3"/>
      <c r="Y217" s="3"/>
      <c r="Z217" s="3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3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64"/>
      <c r="X218" s="3"/>
      <c r="Y218" s="3"/>
      <c r="Z218" s="3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3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64"/>
      <c r="X219" s="3"/>
      <c r="Y219" s="3"/>
      <c r="Z219" s="3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3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64"/>
      <c r="X220" s="3"/>
      <c r="Y220" s="3"/>
      <c r="Z220" s="3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3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64"/>
      <c r="X221" s="3"/>
      <c r="Y221" s="3"/>
      <c r="Z221" s="3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3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64"/>
      <c r="X222" s="3"/>
      <c r="Y222" s="3"/>
      <c r="Z222" s="3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3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64"/>
      <c r="X223" s="3"/>
      <c r="Y223" s="3"/>
      <c r="Z223" s="3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3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64"/>
      <c r="X224" s="3"/>
      <c r="Y224" s="3"/>
      <c r="Z224" s="3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3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64"/>
      <c r="X225" s="3"/>
      <c r="Y225" s="3"/>
      <c r="Z225" s="3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3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64"/>
      <c r="X226" s="3"/>
      <c r="Y226" s="3"/>
      <c r="Z226" s="3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3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64"/>
      <c r="X227" s="3"/>
      <c r="Y227" s="3"/>
      <c r="Z227" s="3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3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64"/>
      <c r="X228" s="3"/>
      <c r="Y228" s="3"/>
      <c r="Z228" s="3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3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64"/>
      <c r="X229" s="3"/>
      <c r="Y229" s="3"/>
      <c r="Z229" s="3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3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64"/>
      <c r="X230" s="3"/>
      <c r="Y230" s="3"/>
      <c r="Z230" s="3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3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64"/>
      <c r="X231" s="3"/>
      <c r="Y231" s="3"/>
      <c r="Z231" s="3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3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64"/>
      <c r="X232" s="3"/>
      <c r="Y232" s="3"/>
      <c r="Z232" s="3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3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64"/>
      <c r="X233" s="3"/>
      <c r="Y233" s="3"/>
      <c r="Z233" s="3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3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64"/>
      <c r="X234" s="3"/>
      <c r="Y234" s="3"/>
      <c r="Z234" s="3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3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64"/>
      <c r="X235" s="3"/>
      <c r="Y235" s="3"/>
      <c r="Z235" s="3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3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64"/>
      <c r="X236" s="3"/>
      <c r="Y236" s="3"/>
      <c r="Z236" s="3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3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64"/>
      <c r="X237" s="3"/>
      <c r="Y237" s="3"/>
      <c r="Z237" s="3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3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64"/>
      <c r="X238" s="3"/>
      <c r="Y238" s="3"/>
      <c r="Z238" s="3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3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64"/>
      <c r="X239" s="3"/>
      <c r="Y239" s="3"/>
      <c r="Z239" s="3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3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64"/>
      <c r="X240" s="3"/>
      <c r="Y240" s="3"/>
      <c r="Z240" s="3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3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64"/>
      <c r="X241" s="3"/>
      <c r="Y241" s="3"/>
      <c r="Z241" s="3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3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64"/>
      <c r="X242" s="3"/>
      <c r="Y242" s="3"/>
      <c r="Z242" s="3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3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64"/>
      <c r="X243" s="3"/>
      <c r="Y243" s="3"/>
      <c r="Z243" s="3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3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64"/>
      <c r="X244" s="3"/>
      <c r="Y244" s="3"/>
      <c r="Z244" s="3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3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64"/>
      <c r="X245" s="3"/>
      <c r="Y245" s="3"/>
      <c r="Z245" s="3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3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64"/>
      <c r="X246" s="3"/>
      <c r="Y246" s="3"/>
      <c r="Z246" s="3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3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64"/>
      <c r="X247" s="3"/>
      <c r="Y247" s="3"/>
      <c r="Z247" s="3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3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64"/>
      <c r="X248" s="3"/>
      <c r="Y248" s="3"/>
      <c r="Z248" s="3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3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64"/>
      <c r="X249" s="3"/>
      <c r="Y249" s="3"/>
      <c r="Z249" s="3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3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64"/>
      <c r="X250" s="3"/>
      <c r="Y250" s="3"/>
      <c r="Z250" s="3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3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64"/>
      <c r="X251" s="3"/>
      <c r="Y251" s="3"/>
      <c r="Z251" s="3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3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64"/>
      <c r="X252" s="3"/>
      <c r="Y252" s="3"/>
      <c r="Z252" s="3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3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64"/>
      <c r="X253" s="3"/>
      <c r="Y253" s="3"/>
      <c r="Z253" s="3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3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64"/>
      <c r="X254" s="3"/>
      <c r="Y254" s="3"/>
      <c r="Z254" s="3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3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64"/>
      <c r="X255" s="3"/>
      <c r="Y255" s="3"/>
      <c r="Z255" s="3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3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64"/>
      <c r="X256" s="3"/>
      <c r="Y256" s="3"/>
      <c r="Z256" s="3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3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64"/>
      <c r="X257" s="3"/>
      <c r="Y257" s="3"/>
      <c r="Z257" s="3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3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64"/>
      <c r="X258" s="3"/>
      <c r="Y258" s="3"/>
      <c r="Z258" s="3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3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64"/>
      <c r="X259" s="3"/>
      <c r="Y259" s="3"/>
      <c r="Z259" s="3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3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64"/>
      <c r="X260" s="3"/>
      <c r="Y260" s="3"/>
      <c r="Z260" s="3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3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64"/>
      <c r="X261" s="3"/>
      <c r="Y261" s="3"/>
      <c r="Z261" s="3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3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64"/>
      <c r="X262" s="3"/>
      <c r="Y262" s="3"/>
      <c r="Z262" s="3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3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64"/>
      <c r="X263" s="3"/>
      <c r="Y263" s="3"/>
      <c r="Z263" s="3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3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64"/>
      <c r="X264" s="3"/>
      <c r="Y264" s="3"/>
      <c r="Z264" s="3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3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64"/>
      <c r="X265" s="3"/>
      <c r="Y265" s="3"/>
      <c r="Z265" s="3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3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64"/>
      <c r="X266" s="3"/>
      <c r="Y266" s="3"/>
      <c r="Z266" s="3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3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64"/>
      <c r="X267" s="3"/>
      <c r="Y267" s="3"/>
      <c r="Z267" s="3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3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64"/>
      <c r="X268" s="3"/>
      <c r="Y268" s="3"/>
      <c r="Z268" s="3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3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64"/>
      <c r="X269" s="3"/>
      <c r="Y269" s="3"/>
      <c r="Z269" s="3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3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64"/>
      <c r="X270" s="3"/>
      <c r="Y270" s="3"/>
      <c r="Z270" s="3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3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64"/>
      <c r="X271" s="3"/>
      <c r="Y271" s="3"/>
      <c r="Z271" s="3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3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64"/>
      <c r="X272" s="3"/>
      <c r="Y272" s="3"/>
      <c r="Z272" s="3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3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64"/>
      <c r="X273" s="3"/>
      <c r="Y273" s="3"/>
      <c r="Z273" s="3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3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64"/>
      <c r="X274" s="3"/>
      <c r="Y274" s="3"/>
      <c r="Z274" s="3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3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64"/>
      <c r="X275" s="3"/>
      <c r="Y275" s="3"/>
      <c r="Z275" s="3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3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64"/>
      <c r="X276" s="3"/>
      <c r="Y276" s="3"/>
      <c r="Z276" s="3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3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64"/>
      <c r="X277" s="3"/>
      <c r="Y277" s="3"/>
      <c r="Z277" s="3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3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64"/>
      <c r="X278" s="3"/>
      <c r="Y278" s="3"/>
      <c r="Z278" s="3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3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64"/>
      <c r="X279" s="3"/>
      <c r="Y279" s="3"/>
      <c r="Z279" s="3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3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64"/>
      <c r="X280" s="3"/>
      <c r="Y280" s="3"/>
      <c r="Z280" s="3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3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64"/>
      <c r="X281" s="3"/>
      <c r="Y281" s="3"/>
      <c r="Z281" s="3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3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64"/>
      <c r="X282" s="3"/>
      <c r="Y282" s="3"/>
      <c r="Z282" s="3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3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64"/>
      <c r="X283" s="3"/>
      <c r="Y283" s="3"/>
      <c r="Z283" s="3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3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64"/>
      <c r="X284" s="3"/>
      <c r="Y284" s="3"/>
      <c r="Z284" s="3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3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64"/>
      <c r="X285" s="3"/>
      <c r="Y285" s="3"/>
      <c r="Z285" s="3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3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64"/>
      <c r="X286" s="3"/>
      <c r="Y286" s="3"/>
      <c r="Z286" s="3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3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64"/>
      <c r="X287" s="3"/>
      <c r="Y287" s="3"/>
      <c r="Z287" s="3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3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64"/>
      <c r="X288" s="3"/>
      <c r="Y288" s="3"/>
      <c r="Z288" s="3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3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64"/>
      <c r="X289" s="3"/>
      <c r="Y289" s="3"/>
      <c r="Z289" s="3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3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64"/>
      <c r="X290" s="3"/>
      <c r="Y290" s="3"/>
      <c r="Z290" s="3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3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64"/>
      <c r="X291" s="3"/>
      <c r="Y291" s="3"/>
      <c r="Z291" s="3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3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64"/>
      <c r="X292" s="3"/>
      <c r="Y292" s="3"/>
      <c r="Z292" s="3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3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64"/>
      <c r="X293" s="3"/>
      <c r="Y293" s="3"/>
      <c r="Z293" s="3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3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64"/>
      <c r="X294" s="3"/>
      <c r="Y294" s="3"/>
      <c r="Z294" s="3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3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64"/>
      <c r="X295" s="3"/>
      <c r="Y295" s="3"/>
      <c r="Z295" s="3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3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64"/>
      <c r="X296" s="3"/>
      <c r="Y296" s="3"/>
      <c r="Z296" s="3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3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64"/>
      <c r="X297" s="3"/>
      <c r="Y297" s="3"/>
      <c r="Z297" s="3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3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64"/>
      <c r="X298" s="3"/>
      <c r="Y298" s="3"/>
      <c r="Z298" s="3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3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64"/>
      <c r="X299" s="3"/>
      <c r="Y299" s="3"/>
      <c r="Z299" s="3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3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64"/>
      <c r="X300" s="3"/>
      <c r="Y300" s="3"/>
      <c r="Z300" s="3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3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64"/>
      <c r="X301" s="3"/>
      <c r="Y301" s="3"/>
      <c r="Z301" s="3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3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64"/>
      <c r="X302" s="3"/>
      <c r="Y302" s="3"/>
      <c r="Z302" s="3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3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64"/>
      <c r="X303" s="3"/>
      <c r="Y303" s="3"/>
      <c r="Z303" s="3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3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64"/>
      <c r="X304" s="3"/>
      <c r="Y304" s="3"/>
      <c r="Z304" s="3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3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64"/>
      <c r="X305" s="3"/>
      <c r="Y305" s="3"/>
      <c r="Z305" s="3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3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64"/>
      <c r="X306" s="3"/>
      <c r="Y306" s="3"/>
      <c r="Z306" s="3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3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64"/>
      <c r="X307" s="3"/>
      <c r="Y307" s="3"/>
      <c r="Z307" s="3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3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64"/>
      <c r="X308" s="3"/>
      <c r="Y308" s="3"/>
      <c r="Z308" s="3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3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64"/>
      <c r="X309" s="3"/>
      <c r="Y309" s="3"/>
      <c r="Z309" s="3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3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64"/>
      <c r="X310" s="3"/>
      <c r="Y310" s="3"/>
      <c r="Z310" s="3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3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64"/>
      <c r="X311" s="3"/>
      <c r="Y311" s="3"/>
      <c r="Z311" s="3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3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64"/>
      <c r="X312" s="3"/>
      <c r="Y312" s="3"/>
      <c r="Z312" s="3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3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64"/>
      <c r="X313" s="3"/>
      <c r="Y313" s="3"/>
      <c r="Z313" s="3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3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64"/>
      <c r="X314" s="3"/>
      <c r="Y314" s="3"/>
      <c r="Z314" s="3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3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64"/>
      <c r="X315" s="3"/>
      <c r="Y315" s="3"/>
      <c r="Z315" s="3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3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64"/>
      <c r="X316" s="3"/>
      <c r="Y316" s="3"/>
      <c r="Z316" s="3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3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64"/>
      <c r="X317" s="3"/>
      <c r="Y317" s="3"/>
      <c r="Z317" s="3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3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64"/>
      <c r="X318" s="3"/>
      <c r="Y318" s="3"/>
      <c r="Z318" s="3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3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64"/>
      <c r="X319" s="3"/>
      <c r="Y319" s="3"/>
      <c r="Z319" s="3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3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64"/>
      <c r="X320" s="3"/>
      <c r="Y320" s="3"/>
      <c r="Z320" s="3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3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64"/>
      <c r="X321" s="3"/>
      <c r="Y321" s="3"/>
      <c r="Z321" s="3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3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64"/>
      <c r="X322" s="3"/>
      <c r="Y322" s="3"/>
      <c r="Z322" s="3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3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64"/>
      <c r="X323" s="3"/>
      <c r="Y323" s="3"/>
      <c r="Z323" s="3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3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64"/>
      <c r="X324" s="3"/>
      <c r="Y324" s="3"/>
      <c r="Z324" s="3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3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64"/>
      <c r="X325" s="3"/>
      <c r="Y325" s="3"/>
      <c r="Z325" s="3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3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64"/>
      <c r="X326" s="3"/>
      <c r="Y326" s="3"/>
      <c r="Z326" s="3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3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64"/>
      <c r="X327" s="3"/>
      <c r="Y327" s="3"/>
      <c r="Z327" s="3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3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64"/>
      <c r="X328" s="3"/>
      <c r="Y328" s="3"/>
      <c r="Z328" s="3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3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64"/>
      <c r="X329" s="3"/>
      <c r="Y329" s="3"/>
      <c r="Z329" s="3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3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64"/>
      <c r="X330" s="3"/>
      <c r="Y330" s="3"/>
      <c r="Z330" s="3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3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64"/>
      <c r="X331" s="3"/>
      <c r="Y331" s="3"/>
      <c r="Z331" s="3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3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64"/>
      <c r="X332" s="3"/>
      <c r="Y332" s="3"/>
      <c r="Z332" s="3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3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64"/>
      <c r="X333" s="3"/>
      <c r="Y333" s="3"/>
      <c r="Z333" s="3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3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64"/>
      <c r="X334" s="3"/>
      <c r="Y334" s="3"/>
      <c r="Z334" s="3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3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64"/>
      <c r="X335" s="3"/>
      <c r="Y335" s="3"/>
      <c r="Z335" s="3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3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64"/>
      <c r="X336" s="3"/>
      <c r="Y336" s="3"/>
      <c r="Z336" s="3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3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64"/>
      <c r="X337" s="3"/>
      <c r="Y337" s="3"/>
      <c r="Z337" s="3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3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64"/>
      <c r="X338" s="3"/>
      <c r="Y338" s="3"/>
      <c r="Z338" s="3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3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64"/>
      <c r="X339" s="3"/>
      <c r="Y339" s="3"/>
      <c r="Z339" s="3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3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64"/>
      <c r="X340" s="3"/>
      <c r="Y340" s="3"/>
      <c r="Z340" s="3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3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64"/>
      <c r="X341" s="3"/>
      <c r="Y341" s="3"/>
      <c r="Z341" s="3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3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64"/>
      <c r="X342" s="3"/>
      <c r="Y342" s="3"/>
      <c r="Z342" s="3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3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64"/>
      <c r="X343" s="3"/>
      <c r="Y343" s="3"/>
      <c r="Z343" s="3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3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64"/>
      <c r="X344" s="3"/>
      <c r="Y344" s="3"/>
      <c r="Z344" s="3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3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64"/>
      <c r="X345" s="3"/>
      <c r="Y345" s="3"/>
      <c r="Z345" s="3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3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64"/>
      <c r="X346" s="3"/>
      <c r="Y346" s="3"/>
      <c r="Z346" s="3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3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64"/>
      <c r="X347" s="3"/>
      <c r="Y347" s="3"/>
      <c r="Z347" s="3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3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64"/>
      <c r="X348" s="3"/>
      <c r="Y348" s="3"/>
      <c r="Z348" s="3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3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64"/>
      <c r="X349" s="3"/>
      <c r="Y349" s="3"/>
      <c r="Z349" s="3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3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64"/>
      <c r="X350" s="3"/>
      <c r="Y350" s="3"/>
      <c r="Z350" s="3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3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64"/>
      <c r="X351" s="3"/>
      <c r="Y351" s="3"/>
      <c r="Z351" s="3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3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64"/>
      <c r="X352" s="3"/>
      <c r="Y352" s="3"/>
      <c r="Z352" s="3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3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64"/>
      <c r="X353" s="3"/>
      <c r="Y353" s="3"/>
      <c r="Z353" s="3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3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64"/>
      <c r="X354" s="3"/>
      <c r="Y354" s="3"/>
      <c r="Z354" s="3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3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64"/>
      <c r="X355" s="3"/>
      <c r="Y355" s="3"/>
      <c r="Z355" s="3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3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64"/>
      <c r="X356" s="3"/>
      <c r="Y356" s="3"/>
      <c r="Z356" s="3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3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64"/>
      <c r="X357" s="3"/>
      <c r="Y357" s="3"/>
      <c r="Z357" s="3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3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64"/>
      <c r="X358" s="3"/>
      <c r="Y358" s="3"/>
      <c r="Z358" s="3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3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64"/>
      <c r="X359" s="3"/>
      <c r="Y359" s="3"/>
      <c r="Z359" s="3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3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64"/>
      <c r="X360" s="3"/>
      <c r="Y360" s="3"/>
      <c r="Z360" s="3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3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64"/>
      <c r="X361" s="3"/>
      <c r="Y361" s="3"/>
      <c r="Z361" s="3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3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64"/>
      <c r="X362" s="3"/>
      <c r="Y362" s="3"/>
      <c r="Z362" s="3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3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64"/>
      <c r="X363" s="3"/>
      <c r="Y363" s="3"/>
      <c r="Z363" s="3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3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64"/>
      <c r="X364" s="3"/>
      <c r="Y364" s="3"/>
      <c r="Z364" s="3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3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64"/>
      <c r="X365" s="3"/>
      <c r="Y365" s="3"/>
      <c r="Z365" s="3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3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64"/>
      <c r="X366" s="3"/>
      <c r="Y366" s="3"/>
      <c r="Z366" s="3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3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64"/>
      <c r="X367" s="3"/>
      <c r="Y367" s="3"/>
      <c r="Z367" s="3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3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64"/>
      <c r="X368" s="3"/>
      <c r="Y368" s="3"/>
      <c r="Z368" s="3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3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64"/>
      <c r="X369" s="3"/>
      <c r="Y369" s="3"/>
      <c r="Z369" s="3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3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64"/>
      <c r="X370" s="3"/>
      <c r="Y370" s="3"/>
      <c r="Z370" s="3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3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64"/>
      <c r="X371" s="3"/>
      <c r="Y371" s="3"/>
      <c r="Z371" s="3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3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64"/>
      <c r="X372" s="3"/>
      <c r="Y372" s="3"/>
      <c r="Z372" s="3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3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64"/>
      <c r="X373" s="3"/>
      <c r="Y373" s="3"/>
      <c r="Z373" s="3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3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64"/>
      <c r="X374" s="3"/>
      <c r="Y374" s="3"/>
      <c r="Z374" s="3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3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64"/>
      <c r="X375" s="3"/>
      <c r="Y375" s="3"/>
      <c r="Z375" s="3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3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64"/>
      <c r="X376" s="3"/>
      <c r="Y376" s="3"/>
      <c r="Z376" s="3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3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64"/>
      <c r="X377" s="3"/>
      <c r="Y377" s="3"/>
      <c r="Z377" s="3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3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64"/>
      <c r="X378" s="3"/>
      <c r="Y378" s="3"/>
      <c r="Z378" s="3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3"/>
      <c r="I379" s="2"/>
      <c r="J379" s="2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64"/>
      <c r="X379" s="3"/>
      <c r="Y379" s="3"/>
      <c r="Z379" s="3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3"/>
      <c r="I380" s="2"/>
      <c r="J380" s="2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64"/>
      <c r="X380" s="3"/>
      <c r="Y380" s="3"/>
      <c r="Z380" s="3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3"/>
      <c r="I381" s="2"/>
      <c r="J381" s="2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64"/>
      <c r="X381" s="3"/>
      <c r="Y381" s="3"/>
      <c r="Z381" s="3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3"/>
      <c r="I382" s="2"/>
      <c r="J382" s="2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64"/>
      <c r="X382" s="3"/>
      <c r="Y382" s="3"/>
      <c r="Z382" s="3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3"/>
      <c r="I383" s="2"/>
      <c r="J383" s="2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64"/>
      <c r="X383" s="3"/>
      <c r="Y383" s="3"/>
      <c r="Z383" s="3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3"/>
      <c r="I384" s="2"/>
      <c r="J384" s="2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64"/>
      <c r="X384" s="3"/>
      <c r="Y384" s="3"/>
      <c r="Z384" s="3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3"/>
      <c r="I385" s="2"/>
      <c r="J385" s="2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64"/>
      <c r="X385" s="3"/>
      <c r="Y385" s="3"/>
      <c r="Z385" s="3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3"/>
      <c r="I386" s="2"/>
      <c r="J386" s="2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64"/>
      <c r="X386" s="3"/>
      <c r="Y386" s="3"/>
      <c r="Z386" s="3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3"/>
      <c r="I387" s="2"/>
      <c r="J387" s="2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64"/>
      <c r="X387" s="3"/>
      <c r="Y387" s="3"/>
      <c r="Z387" s="3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3"/>
      <c r="I388" s="2"/>
      <c r="J388" s="2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64"/>
      <c r="X388" s="3"/>
      <c r="Y388" s="3"/>
      <c r="Z388" s="3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3"/>
      <c r="I389" s="2"/>
      <c r="J389" s="2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64"/>
      <c r="X389" s="3"/>
      <c r="Y389" s="3"/>
      <c r="Z389" s="3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3"/>
      <c r="I390" s="2"/>
      <c r="J390" s="2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64"/>
      <c r="X390" s="3"/>
      <c r="Y390" s="3"/>
      <c r="Z390" s="3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3"/>
      <c r="I391" s="2"/>
      <c r="J391" s="2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64"/>
      <c r="X391" s="3"/>
      <c r="Y391" s="3"/>
      <c r="Z391" s="3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3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64"/>
      <c r="X392" s="3"/>
      <c r="Y392" s="3"/>
      <c r="Z392" s="3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3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64"/>
      <c r="X393" s="3"/>
      <c r="Y393" s="3"/>
      <c r="Z393" s="3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3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64"/>
      <c r="X394" s="3"/>
      <c r="Y394" s="3"/>
      <c r="Z394" s="3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3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64"/>
      <c r="X395" s="3"/>
      <c r="Y395" s="3"/>
      <c r="Z395" s="3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3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64"/>
      <c r="X396" s="3"/>
      <c r="Y396" s="3"/>
      <c r="Z396" s="3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3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64"/>
      <c r="X397" s="3"/>
      <c r="Y397" s="3"/>
      <c r="Z397" s="3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3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64"/>
      <c r="X398" s="3"/>
      <c r="Y398" s="3"/>
      <c r="Z398" s="3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3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64"/>
      <c r="X399" s="3"/>
      <c r="Y399" s="3"/>
      <c r="Z399" s="3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3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64"/>
      <c r="X400" s="3"/>
      <c r="Y400" s="3"/>
      <c r="Z400" s="3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3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64"/>
      <c r="X401" s="3"/>
      <c r="Y401" s="3"/>
      <c r="Z401" s="3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3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64"/>
      <c r="X402" s="3"/>
      <c r="Y402" s="3"/>
      <c r="Z402" s="3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3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64"/>
      <c r="X403" s="3"/>
      <c r="Y403" s="3"/>
      <c r="Z403" s="3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3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64"/>
      <c r="X404" s="3"/>
      <c r="Y404" s="3"/>
      <c r="Z404" s="3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3"/>
      <c r="I405" s="2"/>
      <c r="J405" s="2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64"/>
      <c r="X405" s="3"/>
      <c r="Y405" s="3"/>
      <c r="Z405" s="3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3"/>
      <c r="I406" s="2"/>
      <c r="J406" s="2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64"/>
      <c r="X406" s="3"/>
      <c r="Y406" s="3"/>
      <c r="Z406" s="3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3"/>
      <c r="I407" s="2"/>
      <c r="J407" s="2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64"/>
      <c r="X407" s="3"/>
      <c r="Y407" s="3"/>
      <c r="Z407" s="3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3"/>
      <c r="I408" s="2"/>
      <c r="J408" s="2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64"/>
      <c r="X408" s="3"/>
      <c r="Y408" s="3"/>
      <c r="Z408" s="3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3"/>
      <c r="I409" s="2"/>
      <c r="J409" s="2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64"/>
      <c r="X409" s="3"/>
      <c r="Y409" s="3"/>
      <c r="Z409" s="3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3"/>
      <c r="I410" s="2"/>
      <c r="J410" s="2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64"/>
      <c r="X410" s="3"/>
      <c r="Y410" s="3"/>
      <c r="Z410" s="3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3"/>
      <c r="I411" s="2"/>
      <c r="J411" s="2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64"/>
      <c r="X411" s="3"/>
      <c r="Y411" s="3"/>
      <c r="Z411" s="3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3"/>
      <c r="I412" s="2"/>
      <c r="J412" s="2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64"/>
      <c r="X412" s="3"/>
      <c r="Y412" s="3"/>
      <c r="Z412" s="3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3"/>
      <c r="I413" s="2"/>
      <c r="J413" s="2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64"/>
      <c r="X413" s="3"/>
      <c r="Y413" s="3"/>
      <c r="Z413" s="3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3"/>
      <c r="I414" s="2"/>
      <c r="J414" s="2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64"/>
      <c r="X414" s="3"/>
      <c r="Y414" s="3"/>
      <c r="Z414" s="3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3"/>
      <c r="I415" s="2"/>
      <c r="J415" s="2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64"/>
      <c r="X415" s="3"/>
      <c r="Y415" s="3"/>
      <c r="Z415" s="3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3"/>
      <c r="I416" s="2"/>
      <c r="J416" s="2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64"/>
      <c r="X416" s="3"/>
      <c r="Y416" s="3"/>
      <c r="Z416" s="3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3"/>
      <c r="I417" s="2"/>
      <c r="J417" s="2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64"/>
      <c r="X417" s="3"/>
      <c r="Y417" s="3"/>
      <c r="Z417" s="3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3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64"/>
      <c r="X418" s="3"/>
      <c r="Y418" s="3"/>
      <c r="Z418" s="3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3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64"/>
      <c r="X419" s="3"/>
      <c r="Y419" s="3"/>
      <c r="Z419" s="3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3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64"/>
      <c r="X420" s="3"/>
      <c r="Y420" s="3"/>
      <c r="Z420" s="3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3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64"/>
      <c r="X421" s="3"/>
      <c r="Y421" s="3"/>
      <c r="Z421" s="3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3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64"/>
      <c r="X422" s="3"/>
      <c r="Y422" s="3"/>
      <c r="Z422" s="3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3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64"/>
      <c r="X423" s="3"/>
      <c r="Y423" s="3"/>
      <c r="Z423" s="3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3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64"/>
      <c r="X424" s="3"/>
      <c r="Y424" s="3"/>
      <c r="Z424" s="3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3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64"/>
      <c r="X425" s="3"/>
      <c r="Y425" s="3"/>
      <c r="Z425" s="3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3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64"/>
      <c r="X426" s="3"/>
      <c r="Y426" s="3"/>
      <c r="Z426" s="3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3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64"/>
      <c r="X427" s="3"/>
      <c r="Y427" s="3"/>
      <c r="Z427" s="3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3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64"/>
      <c r="X428" s="3"/>
      <c r="Y428" s="3"/>
      <c r="Z428" s="3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3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64"/>
      <c r="X429" s="3"/>
      <c r="Y429" s="3"/>
      <c r="Z429" s="3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3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64"/>
      <c r="X430" s="3"/>
      <c r="Y430" s="3"/>
      <c r="Z430" s="3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3"/>
      <c r="I431" s="2"/>
      <c r="J431" s="2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64"/>
      <c r="X431" s="3"/>
      <c r="Y431" s="3"/>
      <c r="Z431" s="3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3"/>
      <c r="I432" s="2"/>
      <c r="J432" s="2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64"/>
      <c r="X432" s="3"/>
      <c r="Y432" s="3"/>
      <c r="Z432" s="3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3"/>
      <c r="I433" s="2"/>
      <c r="J433" s="2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64"/>
      <c r="X433" s="3"/>
      <c r="Y433" s="3"/>
      <c r="Z433" s="3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3"/>
      <c r="I434" s="2"/>
      <c r="J434" s="2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64"/>
      <c r="X434" s="3"/>
      <c r="Y434" s="3"/>
      <c r="Z434" s="3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3"/>
      <c r="I435" s="2"/>
      <c r="J435" s="2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64"/>
      <c r="X435" s="3"/>
      <c r="Y435" s="3"/>
      <c r="Z435" s="3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3"/>
      <c r="I436" s="2"/>
      <c r="J436" s="2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64"/>
      <c r="X436" s="3"/>
      <c r="Y436" s="3"/>
      <c r="Z436" s="3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3"/>
      <c r="I437" s="2"/>
      <c r="J437" s="2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64"/>
      <c r="X437" s="3"/>
      <c r="Y437" s="3"/>
      <c r="Z437" s="3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3"/>
      <c r="I438" s="2"/>
      <c r="J438" s="2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64"/>
      <c r="X438" s="3"/>
      <c r="Y438" s="3"/>
      <c r="Z438" s="3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3"/>
      <c r="I439" s="2"/>
      <c r="J439" s="2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64"/>
      <c r="X439" s="3"/>
      <c r="Y439" s="3"/>
      <c r="Z439" s="3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3"/>
      <c r="I440" s="2"/>
      <c r="J440" s="2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64"/>
      <c r="X440" s="3"/>
      <c r="Y440" s="3"/>
      <c r="Z440" s="3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3"/>
      <c r="I441" s="2"/>
      <c r="J441" s="2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64"/>
      <c r="X441" s="3"/>
      <c r="Y441" s="3"/>
      <c r="Z441" s="3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3"/>
      <c r="I442" s="2"/>
      <c r="J442" s="2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64"/>
      <c r="X442" s="3"/>
      <c r="Y442" s="3"/>
      <c r="Z442" s="3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3"/>
      <c r="I443" s="2"/>
      <c r="J443" s="2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64"/>
      <c r="X443" s="3"/>
      <c r="Y443" s="3"/>
      <c r="Z443" s="3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3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64"/>
      <c r="X444" s="3"/>
      <c r="Y444" s="3"/>
      <c r="Z444" s="3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3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64"/>
      <c r="X445" s="3"/>
      <c r="Y445" s="3"/>
      <c r="Z445" s="3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3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64"/>
      <c r="X446" s="3"/>
      <c r="Y446" s="3"/>
      <c r="Z446" s="3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3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64"/>
      <c r="X447" s="3"/>
      <c r="Y447" s="3"/>
      <c r="Z447" s="3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3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64"/>
      <c r="X448" s="3"/>
      <c r="Y448" s="3"/>
      <c r="Z448" s="3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3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64"/>
      <c r="X449" s="3"/>
      <c r="Y449" s="3"/>
      <c r="Z449" s="3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3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64"/>
      <c r="X450" s="3"/>
      <c r="Y450" s="3"/>
      <c r="Z450" s="3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3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64"/>
      <c r="X451" s="3"/>
      <c r="Y451" s="3"/>
      <c r="Z451" s="3"/>
    </row>
    <row r="452" spans="1:26" ht="15" customHeight="1" x14ac:dyDescent="0.3">
      <c r="W452" s="66"/>
    </row>
    <row r="453" spans="1:26" ht="15" customHeight="1" x14ac:dyDescent="0.3">
      <c r="W453" s="66"/>
    </row>
    <row r="454" spans="1:26" ht="15" customHeight="1" x14ac:dyDescent="0.3">
      <c r="W454" s="66"/>
    </row>
    <row r="455" spans="1:26" ht="15" customHeight="1" x14ac:dyDescent="0.3">
      <c r="W455" s="66"/>
    </row>
    <row r="456" spans="1:26" ht="15" customHeight="1" x14ac:dyDescent="0.3">
      <c r="W456" s="66"/>
    </row>
    <row r="457" spans="1:26" ht="15" customHeight="1" x14ac:dyDescent="0.3">
      <c r="W457" s="66"/>
    </row>
    <row r="458" spans="1:26" ht="15" customHeight="1" x14ac:dyDescent="0.3">
      <c r="W458" s="66"/>
    </row>
    <row r="459" spans="1:26" ht="15" customHeight="1" x14ac:dyDescent="0.3">
      <c r="W459" s="66"/>
    </row>
    <row r="460" spans="1:26" ht="15" customHeight="1" x14ac:dyDescent="0.3">
      <c r="W460" s="66"/>
    </row>
    <row r="461" spans="1:26" ht="15" customHeight="1" x14ac:dyDescent="0.3">
      <c r="W461" s="66"/>
    </row>
    <row r="462" spans="1:26" ht="15" customHeight="1" x14ac:dyDescent="0.3">
      <c r="W462" s="66"/>
    </row>
    <row r="463" spans="1:26" ht="15" customHeight="1" x14ac:dyDescent="0.3">
      <c r="W463" s="66"/>
    </row>
    <row r="464" spans="1:26" ht="15" customHeight="1" x14ac:dyDescent="0.3">
      <c r="W464" s="66"/>
    </row>
    <row r="465" spans="23:23" ht="15" customHeight="1" x14ac:dyDescent="0.3">
      <c r="W465" s="66"/>
    </row>
    <row r="466" spans="23:23" ht="15" customHeight="1" x14ac:dyDescent="0.3">
      <c r="W466" s="66"/>
    </row>
    <row r="467" spans="23:23" ht="15" customHeight="1" x14ac:dyDescent="0.3">
      <c r="W467" s="66"/>
    </row>
    <row r="468" spans="23:23" ht="15" customHeight="1" x14ac:dyDescent="0.3">
      <c r="W468" s="66"/>
    </row>
    <row r="469" spans="23:23" ht="15" customHeight="1" x14ac:dyDescent="0.3">
      <c r="W469" s="66"/>
    </row>
    <row r="470" spans="23:23" ht="15" customHeight="1" x14ac:dyDescent="0.3">
      <c r="W470" s="66"/>
    </row>
    <row r="471" spans="23:23" ht="15" customHeight="1" x14ac:dyDescent="0.3">
      <c r="W471" s="66"/>
    </row>
    <row r="472" spans="23:23" ht="15" customHeight="1" x14ac:dyDescent="0.3">
      <c r="W472" s="66"/>
    </row>
    <row r="473" spans="23:23" ht="15" customHeight="1" x14ac:dyDescent="0.3">
      <c r="W473" s="66"/>
    </row>
    <row r="474" spans="23:23" ht="15" customHeight="1" x14ac:dyDescent="0.3">
      <c r="W474" s="66"/>
    </row>
    <row r="475" spans="23:23" ht="15" customHeight="1" x14ac:dyDescent="0.3">
      <c r="W475" s="66"/>
    </row>
    <row r="476" spans="23:23" ht="15" customHeight="1" x14ac:dyDescent="0.3">
      <c r="W476" s="66"/>
    </row>
    <row r="477" spans="23:23" ht="15" customHeight="1" x14ac:dyDescent="0.3">
      <c r="W477" s="66"/>
    </row>
    <row r="478" spans="23:23" ht="15" customHeight="1" x14ac:dyDescent="0.3">
      <c r="W478" s="66"/>
    </row>
    <row r="479" spans="23:23" ht="15" customHeight="1" x14ac:dyDescent="0.3">
      <c r="W479" s="66"/>
    </row>
    <row r="480" spans="23:23" ht="15" customHeight="1" x14ac:dyDescent="0.3">
      <c r="W480" s="66"/>
    </row>
    <row r="481" spans="23:23" ht="15" customHeight="1" x14ac:dyDescent="0.3">
      <c r="W481" s="66"/>
    </row>
    <row r="482" spans="23:23" ht="15" customHeight="1" x14ac:dyDescent="0.3">
      <c r="W482" s="66"/>
    </row>
    <row r="483" spans="23:23" ht="15" customHeight="1" x14ac:dyDescent="0.3">
      <c r="W483" s="66"/>
    </row>
    <row r="484" spans="23:23" ht="15" customHeight="1" x14ac:dyDescent="0.3">
      <c r="W484" s="66"/>
    </row>
    <row r="485" spans="23:23" ht="15" customHeight="1" x14ac:dyDescent="0.3">
      <c r="W485" s="66"/>
    </row>
    <row r="486" spans="23:23" ht="15" customHeight="1" x14ac:dyDescent="0.3">
      <c r="W486" s="66"/>
    </row>
    <row r="487" spans="23:23" ht="15" customHeight="1" x14ac:dyDescent="0.3">
      <c r="W487" s="66"/>
    </row>
    <row r="488" spans="23:23" ht="15" customHeight="1" x14ac:dyDescent="0.3">
      <c r="W488" s="66"/>
    </row>
    <row r="489" spans="23:23" ht="15" customHeight="1" x14ac:dyDescent="0.3">
      <c r="W489" s="66"/>
    </row>
    <row r="490" spans="23:23" ht="15" customHeight="1" x14ac:dyDescent="0.3">
      <c r="W490" s="66"/>
    </row>
    <row r="491" spans="23:23" ht="15" customHeight="1" x14ac:dyDescent="0.3">
      <c r="W491" s="66"/>
    </row>
    <row r="492" spans="23:23" ht="15" customHeight="1" x14ac:dyDescent="0.3">
      <c r="W492" s="66"/>
    </row>
    <row r="493" spans="23:23" ht="15" customHeight="1" x14ac:dyDescent="0.3">
      <c r="W493" s="66"/>
    </row>
    <row r="494" spans="23:23" ht="15" customHeight="1" x14ac:dyDescent="0.3">
      <c r="W494" s="66"/>
    </row>
    <row r="495" spans="23:23" ht="15" customHeight="1" x14ac:dyDescent="0.3">
      <c r="W495" s="66"/>
    </row>
    <row r="496" spans="23:23" ht="15" customHeight="1" x14ac:dyDescent="0.3">
      <c r="W496" s="66"/>
    </row>
    <row r="497" spans="23:23" ht="15" customHeight="1" x14ac:dyDescent="0.3">
      <c r="W497" s="66"/>
    </row>
    <row r="498" spans="23:23" ht="15" customHeight="1" x14ac:dyDescent="0.3">
      <c r="W498" s="66"/>
    </row>
    <row r="499" spans="23:23" ht="15" customHeight="1" x14ac:dyDescent="0.3">
      <c r="W499" s="66"/>
    </row>
    <row r="500" spans="23:23" ht="15" customHeight="1" x14ac:dyDescent="0.3">
      <c r="W500" s="66"/>
    </row>
    <row r="501" spans="23:23" ht="15" customHeight="1" x14ac:dyDescent="0.3">
      <c r="W501" s="66"/>
    </row>
    <row r="502" spans="23:23" ht="15" customHeight="1" x14ac:dyDescent="0.3">
      <c r="W502" s="66"/>
    </row>
    <row r="503" spans="23:23" ht="15" customHeight="1" x14ac:dyDescent="0.3">
      <c r="W503" s="66"/>
    </row>
    <row r="504" spans="23:23" ht="15" customHeight="1" x14ac:dyDescent="0.3">
      <c r="W504" s="66"/>
    </row>
    <row r="505" spans="23:23" ht="15" customHeight="1" x14ac:dyDescent="0.3">
      <c r="W505" s="66"/>
    </row>
    <row r="506" spans="23:23" ht="15" customHeight="1" x14ac:dyDescent="0.3">
      <c r="W506" s="66"/>
    </row>
    <row r="507" spans="23:23" ht="15" customHeight="1" x14ac:dyDescent="0.3">
      <c r="W507" s="66"/>
    </row>
    <row r="508" spans="23:23" ht="15" customHeight="1" x14ac:dyDescent="0.3">
      <c r="W508" s="66"/>
    </row>
    <row r="509" spans="23:23" ht="15" customHeight="1" x14ac:dyDescent="0.3">
      <c r="W509" s="66"/>
    </row>
    <row r="510" spans="23:23" ht="15" customHeight="1" x14ac:dyDescent="0.3">
      <c r="W510" s="66"/>
    </row>
    <row r="511" spans="23:23" ht="15" customHeight="1" x14ac:dyDescent="0.3">
      <c r="W511" s="66"/>
    </row>
    <row r="512" spans="23:23" ht="15" customHeight="1" x14ac:dyDescent="0.3">
      <c r="W512" s="66"/>
    </row>
    <row r="513" spans="23:23" ht="15" customHeight="1" x14ac:dyDescent="0.3">
      <c r="W513" s="66"/>
    </row>
    <row r="514" spans="23:23" ht="15" customHeight="1" x14ac:dyDescent="0.3">
      <c r="W514" s="66"/>
    </row>
    <row r="515" spans="23:23" ht="15" customHeight="1" x14ac:dyDescent="0.3">
      <c r="W515" s="66"/>
    </row>
    <row r="516" spans="23:23" ht="15" customHeight="1" x14ac:dyDescent="0.3">
      <c r="W516" s="66"/>
    </row>
    <row r="517" spans="23:23" ht="15" customHeight="1" x14ac:dyDescent="0.3">
      <c r="W517" s="66"/>
    </row>
    <row r="518" spans="23:23" ht="15" customHeight="1" x14ac:dyDescent="0.3">
      <c r="W518" s="66"/>
    </row>
    <row r="519" spans="23:23" ht="15" customHeight="1" x14ac:dyDescent="0.3">
      <c r="W519" s="66"/>
    </row>
    <row r="520" spans="23:23" ht="15" customHeight="1" x14ac:dyDescent="0.3">
      <c r="W520" s="66"/>
    </row>
    <row r="521" spans="23:23" ht="15" customHeight="1" x14ac:dyDescent="0.3">
      <c r="W521" s="66"/>
    </row>
    <row r="522" spans="23:23" ht="15" customHeight="1" x14ac:dyDescent="0.3">
      <c r="W522" s="66"/>
    </row>
    <row r="523" spans="23:23" ht="15" customHeight="1" x14ac:dyDescent="0.3">
      <c r="W523" s="66"/>
    </row>
    <row r="524" spans="23:23" ht="15" customHeight="1" x14ac:dyDescent="0.3">
      <c r="W524" s="66"/>
    </row>
    <row r="525" spans="23:23" ht="15" customHeight="1" x14ac:dyDescent="0.3">
      <c r="W525" s="66"/>
    </row>
    <row r="526" spans="23:23" ht="15" customHeight="1" x14ac:dyDescent="0.3">
      <c r="W526" s="66"/>
    </row>
    <row r="527" spans="23:23" ht="15" customHeight="1" x14ac:dyDescent="0.3">
      <c r="W527" s="66"/>
    </row>
    <row r="528" spans="23:23" ht="15" customHeight="1" x14ac:dyDescent="0.3">
      <c r="W528" s="66"/>
    </row>
    <row r="529" spans="23:23" ht="15" customHeight="1" x14ac:dyDescent="0.3">
      <c r="W529" s="66"/>
    </row>
    <row r="530" spans="23:23" ht="15" customHeight="1" x14ac:dyDescent="0.3">
      <c r="W530" s="66"/>
    </row>
    <row r="531" spans="23:23" ht="15" customHeight="1" x14ac:dyDescent="0.3">
      <c r="W531" s="66"/>
    </row>
    <row r="532" spans="23:23" ht="15" customHeight="1" x14ac:dyDescent="0.3">
      <c r="W532" s="66"/>
    </row>
    <row r="533" spans="23:23" ht="15" customHeight="1" x14ac:dyDescent="0.3">
      <c r="W533" s="66"/>
    </row>
    <row r="534" spans="23:23" ht="15" customHeight="1" x14ac:dyDescent="0.3">
      <c r="W534" s="66"/>
    </row>
    <row r="535" spans="23:23" ht="15" customHeight="1" x14ac:dyDescent="0.3">
      <c r="W535" s="66"/>
    </row>
    <row r="536" spans="23:23" ht="15" customHeight="1" x14ac:dyDescent="0.3">
      <c r="W536" s="66"/>
    </row>
    <row r="537" spans="23:23" ht="15" customHeight="1" x14ac:dyDescent="0.3">
      <c r="W537" s="66"/>
    </row>
    <row r="538" spans="23:23" ht="15" customHeight="1" x14ac:dyDescent="0.3">
      <c r="W538" s="66"/>
    </row>
    <row r="539" spans="23:23" ht="15" customHeight="1" x14ac:dyDescent="0.3">
      <c r="W539" s="66"/>
    </row>
    <row r="540" spans="23:23" ht="15" customHeight="1" x14ac:dyDescent="0.3">
      <c r="W540" s="66"/>
    </row>
    <row r="541" spans="23:23" ht="15" customHeight="1" x14ac:dyDescent="0.3">
      <c r="W541" s="66"/>
    </row>
    <row r="542" spans="23:23" ht="15" customHeight="1" x14ac:dyDescent="0.3">
      <c r="W542" s="66"/>
    </row>
    <row r="543" spans="23:23" ht="15" customHeight="1" x14ac:dyDescent="0.3">
      <c r="W543" s="66"/>
    </row>
    <row r="544" spans="23:23" ht="15" customHeight="1" x14ac:dyDescent="0.3">
      <c r="W544" s="66"/>
    </row>
    <row r="545" spans="23:23" ht="15" customHeight="1" x14ac:dyDescent="0.3">
      <c r="W545" s="66"/>
    </row>
    <row r="546" spans="23:23" ht="15" customHeight="1" x14ac:dyDescent="0.3">
      <c r="W546" s="66"/>
    </row>
    <row r="547" spans="23:23" ht="15" customHeight="1" x14ac:dyDescent="0.3">
      <c r="W547" s="66"/>
    </row>
    <row r="548" spans="23:23" ht="15" customHeight="1" x14ac:dyDescent="0.3">
      <c r="W548" s="66"/>
    </row>
    <row r="549" spans="23:23" ht="15" customHeight="1" x14ac:dyDescent="0.3">
      <c r="W549" s="66"/>
    </row>
    <row r="550" spans="23:23" ht="15" customHeight="1" x14ac:dyDescent="0.3">
      <c r="W550" s="66"/>
    </row>
    <row r="551" spans="23:23" ht="15" customHeight="1" x14ac:dyDescent="0.3">
      <c r="W551" s="66"/>
    </row>
    <row r="552" spans="23:23" ht="15" customHeight="1" x14ac:dyDescent="0.3">
      <c r="W552" s="66"/>
    </row>
    <row r="553" spans="23:23" ht="15" customHeight="1" x14ac:dyDescent="0.3">
      <c r="W553" s="66"/>
    </row>
    <row r="554" spans="23:23" ht="15" customHeight="1" x14ac:dyDescent="0.3">
      <c r="W554" s="66"/>
    </row>
    <row r="555" spans="23:23" ht="15" customHeight="1" x14ac:dyDescent="0.3">
      <c r="W555" s="66"/>
    </row>
    <row r="556" spans="23:23" ht="15" customHeight="1" x14ac:dyDescent="0.3">
      <c r="W556" s="66"/>
    </row>
    <row r="557" spans="23:23" ht="15" customHeight="1" x14ac:dyDescent="0.3">
      <c r="W557" s="66"/>
    </row>
    <row r="558" spans="23:23" ht="15" customHeight="1" x14ac:dyDescent="0.3">
      <c r="W558" s="66"/>
    </row>
    <row r="559" spans="23:23" ht="15" customHeight="1" x14ac:dyDescent="0.3">
      <c r="W559" s="66"/>
    </row>
    <row r="560" spans="23:23" ht="15" customHeight="1" x14ac:dyDescent="0.3">
      <c r="W560" s="66"/>
    </row>
    <row r="561" spans="23:23" ht="15" customHeight="1" x14ac:dyDescent="0.3">
      <c r="W561" s="66"/>
    </row>
    <row r="562" spans="23:23" ht="15" customHeight="1" x14ac:dyDescent="0.3">
      <c r="W562" s="66"/>
    </row>
    <row r="563" spans="23:23" ht="15" customHeight="1" x14ac:dyDescent="0.3">
      <c r="W563" s="66"/>
    </row>
    <row r="564" spans="23:23" ht="15" customHeight="1" x14ac:dyDescent="0.3">
      <c r="W564" s="66"/>
    </row>
    <row r="565" spans="23:23" ht="15" customHeight="1" x14ac:dyDescent="0.3">
      <c r="W565" s="66"/>
    </row>
    <row r="566" spans="23:23" ht="15" customHeight="1" x14ac:dyDescent="0.3">
      <c r="W566" s="66"/>
    </row>
    <row r="567" spans="23:23" ht="15" customHeight="1" x14ac:dyDescent="0.3">
      <c r="W567" s="66"/>
    </row>
    <row r="568" spans="23:23" ht="15" customHeight="1" x14ac:dyDescent="0.3">
      <c r="W568" s="66"/>
    </row>
    <row r="569" spans="23:23" ht="15" customHeight="1" x14ac:dyDescent="0.3">
      <c r="W569" s="66"/>
    </row>
    <row r="570" spans="23:23" ht="15" customHeight="1" x14ac:dyDescent="0.3">
      <c r="W570" s="66"/>
    </row>
    <row r="571" spans="23:23" ht="15" customHeight="1" x14ac:dyDescent="0.3">
      <c r="W571" s="66"/>
    </row>
    <row r="572" spans="23:23" ht="15" customHeight="1" x14ac:dyDescent="0.3">
      <c r="W572" s="66"/>
    </row>
    <row r="573" spans="23:23" ht="15" customHeight="1" x14ac:dyDescent="0.3">
      <c r="W573" s="66"/>
    </row>
    <row r="574" spans="23:23" ht="15" customHeight="1" x14ac:dyDescent="0.3">
      <c r="W574" s="66"/>
    </row>
    <row r="575" spans="23:23" ht="15" customHeight="1" x14ac:dyDescent="0.3">
      <c r="W575" s="66"/>
    </row>
    <row r="576" spans="23:23" ht="15" customHeight="1" x14ac:dyDescent="0.3">
      <c r="W576" s="66"/>
    </row>
    <row r="577" spans="23:23" ht="15" customHeight="1" x14ac:dyDescent="0.3">
      <c r="W577" s="66"/>
    </row>
    <row r="578" spans="23:23" ht="15" customHeight="1" x14ac:dyDescent="0.3">
      <c r="W578" s="66"/>
    </row>
    <row r="579" spans="23:23" ht="15" customHeight="1" x14ac:dyDescent="0.3">
      <c r="W579" s="66"/>
    </row>
    <row r="580" spans="23:23" ht="15" customHeight="1" x14ac:dyDescent="0.3">
      <c r="W580" s="66"/>
    </row>
    <row r="581" spans="23:23" ht="15" customHeight="1" x14ac:dyDescent="0.3">
      <c r="W581" s="66"/>
    </row>
    <row r="582" spans="23:23" ht="15" customHeight="1" x14ac:dyDescent="0.3">
      <c r="W582" s="66"/>
    </row>
    <row r="583" spans="23:23" ht="15" customHeight="1" x14ac:dyDescent="0.3">
      <c r="W583" s="66"/>
    </row>
    <row r="584" spans="23:23" ht="15" customHeight="1" x14ac:dyDescent="0.3">
      <c r="W584" s="66"/>
    </row>
    <row r="585" spans="23:23" ht="15" customHeight="1" x14ac:dyDescent="0.3">
      <c r="W585" s="66"/>
    </row>
    <row r="586" spans="23:23" ht="15" customHeight="1" x14ac:dyDescent="0.3">
      <c r="W586" s="66"/>
    </row>
    <row r="587" spans="23:23" ht="15" customHeight="1" x14ac:dyDescent="0.3">
      <c r="W587" s="66"/>
    </row>
    <row r="588" spans="23:23" ht="15" customHeight="1" x14ac:dyDescent="0.3">
      <c r="W588" s="66"/>
    </row>
    <row r="589" spans="23:23" ht="15" customHeight="1" x14ac:dyDescent="0.3">
      <c r="W589" s="66"/>
    </row>
    <row r="590" spans="23:23" ht="15" customHeight="1" x14ac:dyDescent="0.3">
      <c r="W590" s="66"/>
    </row>
    <row r="591" spans="23:23" ht="15" customHeight="1" x14ac:dyDescent="0.3">
      <c r="W591" s="66"/>
    </row>
    <row r="592" spans="23:23" ht="15" customHeight="1" x14ac:dyDescent="0.3">
      <c r="W592" s="66"/>
    </row>
    <row r="593" spans="23:23" ht="15" customHeight="1" x14ac:dyDescent="0.3">
      <c r="W593" s="66"/>
    </row>
    <row r="594" spans="23:23" ht="15" customHeight="1" x14ac:dyDescent="0.3">
      <c r="W594" s="66"/>
    </row>
    <row r="595" spans="23:23" ht="15" customHeight="1" x14ac:dyDescent="0.3">
      <c r="W595" s="66"/>
    </row>
    <row r="596" spans="23:23" ht="15" customHeight="1" x14ac:dyDescent="0.3">
      <c r="W596" s="66"/>
    </row>
    <row r="597" spans="23:23" ht="15" customHeight="1" x14ac:dyDescent="0.3">
      <c r="W597" s="66"/>
    </row>
    <row r="598" spans="23:23" ht="15" customHeight="1" x14ac:dyDescent="0.3">
      <c r="W598" s="66"/>
    </row>
    <row r="599" spans="23:23" ht="15" customHeight="1" x14ac:dyDescent="0.3">
      <c r="W599" s="66"/>
    </row>
    <row r="600" spans="23:23" ht="15" customHeight="1" x14ac:dyDescent="0.3">
      <c r="W600" s="66"/>
    </row>
    <row r="601" spans="23:23" ht="15" customHeight="1" x14ac:dyDescent="0.3">
      <c r="W601" s="66"/>
    </row>
    <row r="602" spans="23:23" ht="15" customHeight="1" x14ac:dyDescent="0.3">
      <c r="W602" s="66"/>
    </row>
    <row r="603" spans="23:23" ht="15" customHeight="1" x14ac:dyDescent="0.3">
      <c r="W603" s="66"/>
    </row>
    <row r="604" spans="23:23" ht="15" customHeight="1" x14ac:dyDescent="0.3">
      <c r="W604" s="66"/>
    </row>
    <row r="605" spans="23:23" ht="15" customHeight="1" x14ac:dyDescent="0.3">
      <c r="W605" s="66"/>
    </row>
    <row r="606" spans="23:23" ht="15" customHeight="1" x14ac:dyDescent="0.3">
      <c r="W606" s="66"/>
    </row>
    <row r="607" spans="23:23" ht="15" customHeight="1" x14ac:dyDescent="0.3">
      <c r="W607" s="66"/>
    </row>
    <row r="608" spans="23:23" ht="15" customHeight="1" x14ac:dyDescent="0.3">
      <c r="W608" s="66"/>
    </row>
    <row r="609" spans="23:23" ht="15" customHeight="1" x14ac:dyDescent="0.3">
      <c r="W609" s="66"/>
    </row>
    <row r="610" spans="23:23" ht="15" customHeight="1" x14ac:dyDescent="0.3">
      <c r="W610" s="66"/>
    </row>
    <row r="611" spans="23:23" ht="15" customHeight="1" x14ac:dyDescent="0.3">
      <c r="W611" s="66"/>
    </row>
    <row r="612" spans="23:23" ht="15" customHeight="1" x14ac:dyDescent="0.3">
      <c r="W612" s="66"/>
    </row>
    <row r="613" spans="23:23" ht="15" customHeight="1" x14ac:dyDescent="0.3">
      <c r="W613" s="66"/>
    </row>
    <row r="614" spans="23:23" ht="15" customHeight="1" x14ac:dyDescent="0.3">
      <c r="W614" s="66"/>
    </row>
    <row r="615" spans="23:23" ht="15" customHeight="1" x14ac:dyDescent="0.3">
      <c r="W615" s="66"/>
    </row>
    <row r="616" spans="23:23" ht="15" customHeight="1" x14ac:dyDescent="0.3">
      <c r="W616" s="66"/>
    </row>
    <row r="617" spans="23:23" ht="15" customHeight="1" x14ac:dyDescent="0.3">
      <c r="W617" s="66"/>
    </row>
    <row r="618" spans="23:23" ht="15" customHeight="1" x14ac:dyDescent="0.3">
      <c r="W618" s="66"/>
    </row>
    <row r="619" spans="23:23" ht="15" customHeight="1" x14ac:dyDescent="0.3">
      <c r="W619" s="66"/>
    </row>
    <row r="620" spans="23:23" ht="15" customHeight="1" x14ac:dyDescent="0.3">
      <c r="W620" s="66"/>
    </row>
    <row r="621" spans="23:23" ht="15" customHeight="1" x14ac:dyDescent="0.3">
      <c r="W621" s="66"/>
    </row>
    <row r="622" spans="23:23" ht="15" customHeight="1" x14ac:dyDescent="0.3">
      <c r="W622" s="66"/>
    </row>
    <row r="623" spans="23:23" ht="15" customHeight="1" x14ac:dyDescent="0.3">
      <c r="W623" s="66"/>
    </row>
    <row r="624" spans="23:23" ht="15" customHeight="1" x14ac:dyDescent="0.3">
      <c r="W624" s="66"/>
    </row>
    <row r="625" spans="23:23" ht="15" customHeight="1" x14ac:dyDescent="0.3">
      <c r="W625" s="66"/>
    </row>
    <row r="626" spans="23:23" ht="15" customHeight="1" x14ac:dyDescent="0.3">
      <c r="W626" s="66"/>
    </row>
    <row r="627" spans="23:23" ht="15" customHeight="1" x14ac:dyDescent="0.3">
      <c r="W627" s="66"/>
    </row>
    <row r="628" spans="23:23" ht="15" customHeight="1" x14ac:dyDescent="0.3">
      <c r="W628" s="66"/>
    </row>
    <row r="629" spans="23:23" ht="15" customHeight="1" x14ac:dyDescent="0.3">
      <c r="W629" s="66"/>
    </row>
  </sheetData>
  <autoFilter ref="A5:Z5"/>
  <mergeCells count="2">
    <mergeCell ref="A1:F1"/>
    <mergeCell ref="A2:C2"/>
  </mergeCells>
  <dataValidations count="2">
    <dataValidation type="list" allowBlank="1" showInputMessage="1" showErrorMessage="1" sqref="V6:V1401">
      <formula1>"devis,engagé,facturé"</formula1>
    </dataValidation>
    <dataValidation type="list" allowBlank="1" showInputMessage="1" showErrorMessage="1" sqref="V3">
      <formula1>"engagé,facturé"</formula1>
    </dataValidation>
  </dataValidations>
  <hyperlinks>
    <hyperlink ref="G11" r:id="rId1"/>
    <hyperlink ref="G10" r:id="rId2"/>
    <hyperlink ref="G9" r:id="rId3"/>
  </hyperlinks>
  <pageMargins left="0.7" right="0.7" top="0.75" bottom="0.75" header="0" footer="0"/>
  <pageSetup paperSize="9" orientation="portrait"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baseColWidth="10" defaultRowHeight="1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workbookViewId="0">
      <selection activeCell="D9" sqref="D9"/>
    </sheetView>
  </sheetViews>
  <sheetFormatPr baseColWidth="10" defaultRowHeight="14" x14ac:dyDescent="0.3"/>
  <sheetData>
    <row r="1" spans="1:22" ht="39" customHeight="1" x14ac:dyDescent="0.3">
      <c r="A1" s="104" t="s">
        <v>89</v>
      </c>
      <c r="B1" s="105"/>
      <c r="C1" s="105"/>
      <c r="D1" s="105"/>
      <c r="E1" s="105"/>
      <c r="F1" s="105"/>
      <c r="G1" s="105"/>
      <c r="H1" s="105"/>
      <c r="I1" s="7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ht="57" customHeight="1" x14ac:dyDescent="0.3">
      <c r="A2" s="102" t="s">
        <v>21</v>
      </c>
      <c r="B2" s="103"/>
      <c r="C2" s="103"/>
      <c r="D2" s="103"/>
      <c r="E2" s="103"/>
      <c r="F2" s="103"/>
      <c r="G2" s="103"/>
      <c r="H2" s="103"/>
      <c r="I2" s="4"/>
      <c r="J2" s="4"/>
      <c r="K2" s="8"/>
      <c r="L2" s="4"/>
      <c r="M2" s="4"/>
      <c r="N2" s="4"/>
      <c r="O2" s="4"/>
      <c r="P2" s="4"/>
      <c r="Q2" s="4"/>
      <c r="R2" s="4"/>
      <c r="S2" s="4"/>
      <c r="T2" s="4"/>
      <c r="U2" s="4"/>
      <c r="V2" s="5"/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C625"/>
  <sheetViews>
    <sheetView zoomScale="50" zoomScaleNormal="50" workbookViewId="0">
      <selection activeCell="F11" sqref="F11"/>
    </sheetView>
  </sheetViews>
  <sheetFormatPr baseColWidth="10" defaultColWidth="12.58203125" defaultRowHeight="14" x14ac:dyDescent="0.3"/>
  <cols>
    <col min="1" max="1" width="22.33203125" style="77" customWidth="1"/>
    <col min="2" max="2" width="23.58203125" style="77" customWidth="1"/>
    <col min="3" max="3" width="12.33203125" style="77" customWidth="1"/>
    <col min="4" max="4" width="22.33203125" style="77" customWidth="1"/>
    <col min="5" max="5" width="27.33203125" style="77" customWidth="1"/>
    <col min="6" max="6" width="16.83203125" style="77" customWidth="1"/>
    <col min="7" max="7" width="12.33203125" style="77" customWidth="1"/>
    <col min="8" max="8" width="13.58203125" style="77" customWidth="1"/>
    <col min="9" max="9" width="25.83203125" style="77" customWidth="1"/>
    <col min="10" max="10" width="14.6640625" style="77" customWidth="1"/>
    <col min="11" max="11" width="38.1640625" style="77" customWidth="1"/>
    <col min="12" max="12" width="85.6640625" style="77" customWidth="1"/>
    <col min="13" max="13" width="21" style="77" customWidth="1"/>
    <col min="14" max="14" width="8.83203125" style="77" customWidth="1"/>
    <col min="15" max="15" width="19.6640625" style="77" customWidth="1"/>
    <col min="16" max="16" width="19" style="77" customWidth="1"/>
    <col min="17" max="17" width="20.33203125" style="77" customWidth="1"/>
    <col min="18" max="18" width="85.6640625" style="77" customWidth="1"/>
    <col min="19" max="19" width="45.83203125" style="77" customWidth="1"/>
    <col min="20" max="20" width="11.83203125" style="77" customWidth="1"/>
    <col min="21" max="22" width="13.58203125" style="77" customWidth="1"/>
    <col min="23" max="23" width="14.83203125" style="77" customWidth="1"/>
    <col min="24" max="24" width="19.33203125" style="77" customWidth="1"/>
    <col min="25" max="25" width="41" style="77" customWidth="1"/>
    <col min="26" max="26" width="39.58203125" style="77" customWidth="1"/>
    <col min="27" max="16384" width="12.58203125" style="77"/>
  </cols>
  <sheetData>
    <row r="1" spans="1:29" s="84" customFormat="1" ht="110" customHeight="1" x14ac:dyDescent="0.3">
      <c r="A1" s="92" t="s">
        <v>23</v>
      </c>
      <c r="B1" s="93" t="s">
        <v>9</v>
      </c>
      <c r="C1" s="93" t="s">
        <v>10</v>
      </c>
      <c r="D1" s="93" t="s">
        <v>30</v>
      </c>
      <c r="E1" s="93" t="s">
        <v>35</v>
      </c>
      <c r="F1" s="93" t="s">
        <v>14</v>
      </c>
      <c r="G1" s="93" t="s">
        <v>13</v>
      </c>
      <c r="H1" s="93" t="s">
        <v>1</v>
      </c>
      <c r="I1" s="93" t="s">
        <v>15</v>
      </c>
      <c r="J1" s="93" t="s">
        <v>40</v>
      </c>
      <c r="K1" s="93" t="s">
        <v>54</v>
      </c>
      <c r="L1" s="93" t="s">
        <v>57</v>
      </c>
      <c r="M1" s="93" t="s">
        <v>58</v>
      </c>
      <c r="N1" s="93" t="s">
        <v>60</v>
      </c>
      <c r="O1" s="93" t="s">
        <v>2</v>
      </c>
      <c r="P1" s="93" t="s">
        <v>16</v>
      </c>
      <c r="Q1" s="93" t="s">
        <v>3</v>
      </c>
      <c r="R1" s="93" t="s">
        <v>4</v>
      </c>
      <c r="S1" s="93" t="s">
        <v>92</v>
      </c>
      <c r="T1" s="93" t="s">
        <v>11</v>
      </c>
      <c r="U1" s="93" t="s">
        <v>0</v>
      </c>
      <c r="V1" s="93" t="s">
        <v>80</v>
      </c>
      <c r="W1" s="93" t="s">
        <v>8</v>
      </c>
      <c r="X1" s="93" t="s">
        <v>6</v>
      </c>
      <c r="Y1" s="93" t="s">
        <v>7</v>
      </c>
      <c r="Z1" s="94" t="s">
        <v>31</v>
      </c>
    </row>
    <row r="2" spans="1:29" ht="48" customHeight="1" x14ac:dyDescent="0.3">
      <c r="A2" s="85" t="s">
        <v>20</v>
      </c>
      <c r="B2" s="74" t="s">
        <v>26</v>
      </c>
      <c r="C2" s="75" t="s">
        <v>55</v>
      </c>
      <c r="D2" s="76" t="s">
        <v>61</v>
      </c>
      <c r="E2" s="76" t="s">
        <v>56</v>
      </c>
      <c r="F2" s="75" t="s">
        <v>67</v>
      </c>
      <c r="G2" s="76" t="s">
        <v>79</v>
      </c>
      <c r="H2" s="75" t="s">
        <v>78</v>
      </c>
      <c r="I2" s="76" t="s">
        <v>62</v>
      </c>
      <c r="J2" s="76" t="s">
        <v>41</v>
      </c>
      <c r="K2" s="75"/>
      <c r="L2" s="76" t="s">
        <v>48</v>
      </c>
      <c r="M2" s="76" t="s">
        <v>59</v>
      </c>
      <c r="N2" s="76"/>
      <c r="O2" s="75"/>
      <c r="P2" s="76"/>
      <c r="Q2" s="76" t="s">
        <v>63</v>
      </c>
      <c r="R2" s="75"/>
      <c r="S2" s="76" t="s">
        <v>64</v>
      </c>
      <c r="T2" s="75"/>
      <c r="U2" s="76"/>
      <c r="V2" s="76" t="s">
        <v>81</v>
      </c>
      <c r="W2" s="76">
        <v>150</v>
      </c>
      <c r="X2" s="75">
        <v>50</v>
      </c>
      <c r="Y2" s="76"/>
      <c r="Z2" s="86"/>
    </row>
    <row r="3" spans="1:29" ht="89" customHeight="1" x14ac:dyDescent="0.3">
      <c r="A3" s="85" t="s">
        <v>20</v>
      </c>
      <c r="B3" s="76"/>
      <c r="C3" s="75" t="s">
        <v>55</v>
      </c>
      <c r="D3" s="76" t="s">
        <v>61</v>
      </c>
      <c r="E3" s="76" t="s">
        <v>97</v>
      </c>
      <c r="F3" s="76" t="s">
        <v>71</v>
      </c>
      <c r="G3" s="76" t="s">
        <v>79</v>
      </c>
      <c r="H3" s="75" t="s">
        <v>78</v>
      </c>
      <c r="I3" s="76" t="s">
        <v>65</v>
      </c>
      <c r="J3" s="76" t="s">
        <v>41</v>
      </c>
      <c r="K3" s="76" t="s">
        <v>75</v>
      </c>
      <c r="L3" s="76" t="s">
        <v>68</v>
      </c>
      <c r="M3" s="76" t="s">
        <v>69</v>
      </c>
      <c r="N3" s="76" t="s">
        <v>70</v>
      </c>
      <c r="O3" s="76"/>
      <c r="P3" s="76"/>
      <c r="Q3" s="76" t="s">
        <v>63</v>
      </c>
      <c r="R3" s="76"/>
      <c r="S3" s="76" t="s">
        <v>64</v>
      </c>
      <c r="T3" s="76"/>
      <c r="U3" s="76"/>
      <c r="V3" s="76" t="s">
        <v>81</v>
      </c>
      <c r="W3" s="76">
        <v>150</v>
      </c>
      <c r="X3" s="76"/>
      <c r="Y3" s="76"/>
      <c r="Z3" s="87"/>
    </row>
    <row r="4" spans="1:29" ht="65" customHeight="1" x14ac:dyDescent="0.3">
      <c r="A4" s="85" t="s">
        <v>20</v>
      </c>
      <c r="B4" s="76"/>
      <c r="C4" s="75" t="s">
        <v>55</v>
      </c>
      <c r="D4" s="76" t="s">
        <v>61</v>
      </c>
      <c r="E4" s="76" t="s">
        <v>56</v>
      </c>
      <c r="F4" s="76" t="s">
        <v>73</v>
      </c>
      <c r="G4" s="76" t="s">
        <v>79</v>
      </c>
      <c r="H4" s="75" t="s">
        <v>78</v>
      </c>
      <c r="I4" s="76" t="s">
        <v>66</v>
      </c>
      <c r="J4" s="76" t="s">
        <v>41</v>
      </c>
      <c r="K4" s="76" t="s">
        <v>74</v>
      </c>
      <c r="L4" s="76" t="s">
        <v>68</v>
      </c>
      <c r="M4" s="76" t="s">
        <v>69</v>
      </c>
      <c r="N4" s="76" t="s">
        <v>72</v>
      </c>
      <c r="O4" s="76"/>
      <c r="P4" s="76"/>
      <c r="Q4" s="76" t="s">
        <v>63</v>
      </c>
      <c r="R4" s="76"/>
      <c r="S4" s="76" t="s">
        <v>93</v>
      </c>
      <c r="T4" s="76"/>
      <c r="U4" s="76"/>
      <c r="V4" s="76" t="s">
        <v>88</v>
      </c>
      <c r="W4" s="76">
        <v>250</v>
      </c>
      <c r="X4" s="76">
        <v>75</v>
      </c>
      <c r="Y4" s="76"/>
      <c r="Z4" s="87"/>
    </row>
    <row r="5" spans="1:29" ht="107.25" customHeight="1" x14ac:dyDescent="0.3">
      <c r="A5" s="85" t="s">
        <v>20</v>
      </c>
      <c r="B5" s="74" t="s">
        <v>27</v>
      </c>
      <c r="C5" s="76" t="s">
        <v>29</v>
      </c>
      <c r="D5" s="76"/>
      <c r="E5" s="76" t="s">
        <v>32</v>
      </c>
      <c r="F5" s="76" t="s">
        <v>53</v>
      </c>
      <c r="G5" s="76" t="s">
        <v>37</v>
      </c>
      <c r="H5" s="76" t="s">
        <v>33</v>
      </c>
      <c r="I5" s="78">
        <v>598945700</v>
      </c>
      <c r="J5" s="76" t="s">
        <v>42</v>
      </c>
      <c r="K5" s="76" t="s">
        <v>38</v>
      </c>
      <c r="L5" s="76" t="s">
        <v>39</v>
      </c>
      <c r="M5" s="76" t="s">
        <v>69</v>
      </c>
      <c r="N5" s="76"/>
      <c r="O5" s="76" t="s">
        <v>43</v>
      </c>
      <c r="P5" s="76" t="s">
        <v>36</v>
      </c>
      <c r="Q5" s="76" t="s">
        <v>44</v>
      </c>
      <c r="R5" s="76"/>
      <c r="S5" s="79">
        <v>15</v>
      </c>
      <c r="T5" s="76"/>
      <c r="U5" s="76"/>
      <c r="V5" s="76" t="s">
        <v>86</v>
      </c>
      <c r="W5" s="76">
        <v>15</v>
      </c>
      <c r="X5" s="76"/>
      <c r="Y5" s="76"/>
      <c r="Z5" s="87"/>
    </row>
    <row r="6" spans="1:29" ht="108.75" customHeight="1" x14ac:dyDescent="0.3">
      <c r="A6" s="85" t="s">
        <v>20</v>
      </c>
      <c r="B6" s="75"/>
      <c r="C6" s="76" t="s">
        <v>29</v>
      </c>
      <c r="D6" s="75"/>
      <c r="E6" s="76" t="s">
        <v>32</v>
      </c>
      <c r="F6" s="75" t="s">
        <v>52</v>
      </c>
      <c r="G6" s="76" t="s">
        <v>34</v>
      </c>
      <c r="H6" s="76" t="s">
        <v>33</v>
      </c>
      <c r="I6" s="78">
        <v>1937791687</v>
      </c>
      <c r="J6" s="76" t="s">
        <v>41</v>
      </c>
      <c r="K6" s="76" t="s">
        <v>47</v>
      </c>
      <c r="L6" s="76" t="s">
        <v>48</v>
      </c>
      <c r="M6" s="76"/>
      <c r="N6" s="76"/>
      <c r="O6" s="76" t="s">
        <v>49</v>
      </c>
      <c r="P6" s="76" t="s">
        <v>36</v>
      </c>
      <c r="Q6" s="76" t="s">
        <v>44</v>
      </c>
      <c r="R6" s="75"/>
      <c r="S6" s="79">
        <v>15</v>
      </c>
      <c r="T6" s="75"/>
      <c r="U6" s="75"/>
      <c r="V6" s="75" t="s">
        <v>81</v>
      </c>
      <c r="W6" s="75">
        <v>15</v>
      </c>
      <c r="X6" s="75"/>
      <c r="Y6" s="75"/>
      <c r="Z6" s="86"/>
    </row>
    <row r="7" spans="1:29" ht="86.25" customHeight="1" x14ac:dyDescent="0.3">
      <c r="A7" s="85" t="s">
        <v>20</v>
      </c>
      <c r="B7" s="75"/>
      <c r="C7" s="76" t="s">
        <v>29</v>
      </c>
      <c r="D7" s="75"/>
      <c r="E7" s="76" t="s">
        <v>32</v>
      </c>
      <c r="F7" s="75" t="s">
        <v>45</v>
      </c>
      <c r="G7" s="80" t="s">
        <v>46</v>
      </c>
      <c r="H7" s="76" t="s">
        <v>33</v>
      </c>
      <c r="I7" s="78">
        <v>1821517055</v>
      </c>
      <c r="J7" s="76" t="s">
        <v>41</v>
      </c>
      <c r="K7" s="76" t="s">
        <v>51</v>
      </c>
      <c r="L7" s="76" t="s">
        <v>48</v>
      </c>
      <c r="M7" s="76" t="s">
        <v>69</v>
      </c>
      <c r="N7" s="76"/>
      <c r="O7" s="76" t="s">
        <v>50</v>
      </c>
      <c r="P7" s="76" t="s">
        <v>36</v>
      </c>
      <c r="Q7" s="76" t="s">
        <v>44</v>
      </c>
      <c r="R7" s="75"/>
      <c r="S7" s="79">
        <v>35</v>
      </c>
      <c r="T7" s="75"/>
      <c r="U7" s="75"/>
      <c r="V7" s="75" t="s">
        <v>86</v>
      </c>
      <c r="W7" s="75">
        <v>35</v>
      </c>
      <c r="X7" s="75"/>
      <c r="Y7" s="75"/>
      <c r="Z7" s="86"/>
    </row>
    <row r="8" spans="1:29" ht="57" customHeight="1" x14ac:dyDescent="0.3">
      <c r="A8" s="88"/>
      <c r="B8" s="89" t="s">
        <v>76</v>
      </c>
      <c r="C8" s="90" t="s">
        <v>77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1"/>
      <c r="U8" s="91" t="s">
        <v>96</v>
      </c>
      <c r="V8" s="91"/>
      <c r="W8" s="91">
        <f>SUM(W2:W7)</f>
        <v>615</v>
      </c>
      <c r="X8" s="95">
        <f>SUM(X2:X7)</f>
        <v>125</v>
      </c>
      <c r="Y8" s="96"/>
      <c r="Z8" s="97"/>
      <c r="AA8" s="83"/>
      <c r="AB8" s="83"/>
    </row>
    <row r="9" spans="1:29" ht="15.7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81"/>
      <c r="U9" s="81"/>
      <c r="V9" s="81"/>
      <c r="W9" s="81"/>
      <c r="X9" s="82"/>
      <c r="Y9" s="83"/>
      <c r="Z9" s="83"/>
      <c r="AA9" s="83"/>
      <c r="AB9" s="83"/>
    </row>
    <row r="10" spans="1:29" ht="15.75" customHeight="1" x14ac:dyDescent="0.3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82"/>
      <c r="U10" s="82"/>
      <c r="V10" s="82"/>
      <c r="W10" s="82"/>
      <c r="X10" s="82"/>
      <c r="Y10" s="83"/>
      <c r="Z10" s="83"/>
      <c r="AA10" s="83"/>
      <c r="AB10" s="83"/>
      <c r="AC10" s="83"/>
    </row>
    <row r="11" spans="1:29" ht="15.75" customHeight="1" x14ac:dyDescent="0.3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82"/>
      <c r="U11" s="82"/>
      <c r="V11" s="82"/>
      <c r="W11" s="82"/>
      <c r="X11" s="82"/>
      <c r="Y11" s="83"/>
      <c r="Z11" s="83"/>
      <c r="AA11" s="83"/>
      <c r="AB11" s="83"/>
      <c r="AC11" s="83"/>
    </row>
    <row r="12" spans="1:29" ht="15.75" customHeight="1" x14ac:dyDescent="0.3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82"/>
      <c r="U12" s="82"/>
      <c r="V12" s="82"/>
      <c r="W12" s="82"/>
      <c r="X12" s="82"/>
      <c r="Y12" s="83"/>
      <c r="Z12" s="83"/>
      <c r="AA12" s="83"/>
      <c r="AB12" s="83"/>
      <c r="AC12" s="83"/>
    </row>
    <row r="13" spans="1:29" ht="15.75" customHeight="1" x14ac:dyDescent="0.3">
      <c r="A13" s="75"/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81"/>
      <c r="U13" s="81"/>
      <c r="V13" s="81"/>
      <c r="W13" s="81"/>
      <c r="X13" s="81"/>
      <c r="Y13" s="75"/>
      <c r="Z13" s="75"/>
    </row>
    <row r="14" spans="1:29" ht="15.75" customHeight="1" x14ac:dyDescent="0.3">
      <c r="A14" s="75"/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9" ht="15.75" customHeight="1" x14ac:dyDescent="0.3">
      <c r="A15" s="75"/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9" ht="15.75" customHeight="1" x14ac:dyDescent="0.3">
      <c r="A16" s="75"/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5.75" customHeight="1" x14ac:dyDescent="0.3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5.75" customHeight="1" x14ac:dyDescent="0.3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5.75" customHeight="1" x14ac:dyDescent="0.3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5.75" customHeight="1" x14ac:dyDescent="0.3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5.75" customHeight="1" x14ac:dyDescent="0.3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5.75" customHeight="1" x14ac:dyDescent="0.3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5.75" customHeight="1" x14ac:dyDescent="0.3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5.75" customHeight="1" x14ac:dyDescent="0.3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5.75" customHeight="1" x14ac:dyDescent="0.3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5.75" customHeight="1" x14ac:dyDescent="0.3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5.75" customHeight="1" x14ac:dyDescent="0.3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5.75" customHeight="1" x14ac:dyDescent="0.3">
      <c r="A28" s="75"/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5.75" customHeight="1" x14ac:dyDescent="0.3">
      <c r="A29" s="75"/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5.75" customHeight="1" x14ac:dyDescent="0.3">
      <c r="A30" s="75"/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5.75" customHeight="1" x14ac:dyDescent="0.3">
      <c r="A31" s="75"/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5.75" customHeight="1" x14ac:dyDescent="0.3">
      <c r="A32" s="75"/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5.75" customHeight="1" x14ac:dyDescent="0.3">
      <c r="A33" s="75"/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5.75" customHeight="1" x14ac:dyDescent="0.3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5.75" customHeight="1" x14ac:dyDescent="0.3">
      <c r="A35" s="75"/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5.75" customHeight="1" x14ac:dyDescent="0.3">
      <c r="A36" s="75"/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5.75" customHeight="1" x14ac:dyDescent="0.3">
      <c r="A37" s="75"/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5.75" customHeight="1" x14ac:dyDescent="0.3">
      <c r="A38" s="75"/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5.75" customHeight="1" x14ac:dyDescent="0.3">
      <c r="A39" s="75"/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5.75" customHeight="1" x14ac:dyDescent="0.3">
      <c r="A40" s="75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5.75" customHeight="1" x14ac:dyDescent="0.3">
      <c r="A41" s="75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5.75" customHeight="1" x14ac:dyDescent="0.3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5.75" customHeight="1" x14ac:dyDescent="0.3">
      <c r="A43" s="75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5.75" customHeight="1" x14ac:dyDescent="0.3">
      <c r="A44" s="75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5.75" customHeight="1" x14ac:dyDescent="0.3">
      <c r="A45" s="75"/>
      <c r="B45" s="75"/>
      <c r="C45" s="75"/>
      <c r="D45" s="75"/>
      <c r="E45" s="75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5.75" customHeight="1" x14ac:dyDescent="0.3">
      <c r="A46" s="75"/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5.75" customHeight="1" x14ac:dyDescent="0.3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5.75" customHeight="1" x14ac:dyDescent="0.3">
      <c r="A48" s="75"/>
      <c r="B48" s="75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5.75" customHeight="1" x14ac:dyDescent="0.3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5.75" customHeight="1" x14ac:dyDescent="0.3">
      <c r="A50" s="75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5.75" customHeight="1" x14ac:dyDescent="0.3">
      <c r="A51" s="75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5.75" customHeight="1" x14ac:dyDescent="0.3">
      <c r="A52" s="75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5.75" customHeight="1" x14ac:dyDescent="0.3">
      <c r="A53" s="75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5.75" customHeight="1" x14ac:dyDescent="0.3">
      <c r="A54" s="75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5.75" customHeight="1" x14ac:dyDescent="0.3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5.75" customHeight="1" x14ac:dyDescent="0.3">
      <c r="A56" s="75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5.75" customHeight="1" x14ac:dyDescent="0.3">
      <c r="A57" s="75"/>
      <c r="B57" s="75"/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5.75" customHeight="1" x14ac:dyDescent="0.3">
      <c r="A58" s="75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5.75" customHeight="1" x14ac:dyDescent="0.3">
      <c r="A59" s="75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5.75" customHeight="1" x14ac:dyDescent="0.3">
      <c r="A60" s="75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5.75" customHeight="1" x14ac:dyDescent="0.3">
      <c r="A61" s="75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.75" customHeight="1" x14ac:dyDescent="0.3">
      <c r="A62" s="75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5.75" customHeight="1" x14ac:dyDescent="0.3">
      <c r="A63" s="75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5.75" customHeight="1" x14ac:dyDescent="0.3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5.75" customHeight="1" x14ac:dyDescent="0.3">
      <c r="A65" s="75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5.75" customHeight="1" x14ac:dyDescent="0.3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5.75" customHeight="1" x14ac:dyDescent="0.3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5.75" customHeight="1" x14ac:dyDescent="0.3">
      <c r="A68" s="75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5.75" customHeight="1" x14ac:dyDescent="0.3">
      <c r="A69" s="75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5.75" customHeight="1" x14ac:dyDescent="0.3">
      <c r="A70" s="75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5.75" customHeight="1" x14ac:dyDescent="0.3">
      <c r="A71" s="75"/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5.75" customHeight="1" x14ac:dyDescent="0.3">
      <c r="A72" s="75"/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5.75" customHeight="1" x14ac:dyDescent="0.3">
      <c r="A73" s="75"/>
      <c r="B73" s="75"/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5.75" customHeight="1" x14ac:dyDescent="0.3">
      <c r="A74" s="75"/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5.75" customHeight="1" x14ac:dyDescent="0.3">
      <c r="A75" s="75"/>
      <c r="B75" s="75"/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5.75" customHeight="1" x14ac:dyDescent="0.3">
      <c r="A76" s="75"/>
      <c r="B76" s="75"/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5.75" customHeight="1" x14ac:dyDescent="0.3">
      <c r="A77" s="75"/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5.75" customHeight="1" x14ac:dyDescent="0.3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5.75" customHeight="1" x14ac:dyDescent="0.3">
      <c r="A79" s="75"/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5.75" customHeight="1" x14ac:dyDescent="0.3">
      <c r="A80" s="75"/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5.75" customHeight="1" x14ac:dyDescent="0.3">
      <c r="A81" s="75"/>
      <c r="B81" s="75"/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5.75" customHeight="1" x14ac:dyDescent="0.3">
      <c r="A82" s="75"/>
      <c r="B82" s="75"/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5.75" customHeight="1" x14ac:dyDescent="0.3">
      <c r="A83" s="75"/>
      <c r="B83" s="75"/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5.75" customHeight="1" x14ac:dyDescent="0.3">
      <c r="A84" s="75"/>
      <c r="B84" s="75"/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5.75" customHeight="1" x14ac:dyDescent="0.3">
      <c r="A85" s="75"/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5.75" customHeight="1" x14ac:dyDescent="0.3">
      <c r="A86" s="75"/>
      <c r="B86" s="75"/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5.75" customHeight="1" x14ac:dyDescent="0.3">
      <c r="A87" s="75"/>
      <c r="B87" s="75"/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5.75" customHeight="1" x14ac:dyDescent="0.3">
      <c r="A88" s="75"/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5.75" customHeight="1" x14ac:dyDescent="0.3">
      <c r="A89" s="75"/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5.75" customHeight="1" x14ac:dyDescent="0.3">
      <c r="A90" s="75"/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5.75" customHeight="1" x14ac:dyDescent="0.3">
      <c r="A91" s="75"/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5.75" customHeight="1" x14ac:dyDescent="0.3">
      <c r="A92" s="75"/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5.75" customHeight="1" x14ac:dyDescent="0.3">
      <c r="A93" s="75"/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5.75" customHeight="1" x14ac:dyDescent="0.3">
      <c r="A94" s="75"/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5.75" customHeight="1" x14ac:dyDescent="0.3">
      <c r="A95" s="75"/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5.75" customHeight="1" x14ac:dyDescent="0.3">
      <c r="A96" s="75"/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5.75" customHeight="1" x14ac:dyDescent="0.3">
      <c r="A97" s="75"/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5.75" customHeight="1" x14ac:dyDescent="0.3">
      <c r="A98" s="75"/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5.75" customHeight="1" x14ac:dyDescent="0.3">
      <c r="A99" s="75"/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5.75" customHeight="1" x14ac:dyDescent="0.3">
      <c r="A100" s="75"/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5.75" customHeight="1" x14ac:dyDescent="0.3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5.75" customHeight="1" x14ac:dyDescent="0.3">
      <c r="A102" s="75"/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5.75" customHeight="1" x14ac:dyDescent="0.3">
      <c r="A103" s="75"/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5.75" customHeight="1" x14ac:dyDescent="0.3">
      <c r="A104" s="75"/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5.75" customHeight="1" x14ac:dyDescent="0.3">
      <c r="A105" s="75"/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5.75" customHeight="1" x14ac:dyDescent="0.3">
      <c r="A106" s="75"/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5.75" customHeight="1" x14ac:dyDescent="0.3">
      <c r="A107" s="75"/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5.75" customHeight="1" x14ac:dyDescent="0.3">
      <c r="A108" s="75"/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5.75" customHeight="1" x14ac:dyDescent="0.3">
      <c r="A109" s="75"/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5.75" customHeight="1" x14ac:dyDescent="0.3">
      <c r="A110" s="75"/>
      <c r="B110" s="75"/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5.75" customHeight="1" x14ac:dyDescent="0.3">
      <c r="A111" s="75"/>
      <c r="B111" s="75"/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5.75" customHeight="1" x14ac:dyDescent="0.3">
      <c r="A112" s="75"/>
      <c r="B112" s="75"/>
      <c r="C112" s="75"/>
      <c r="D112" s="75"/>
      <c r="E112" s="75"/>
      <c r="F112" s="75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5.75" customHeight="1" x14ac:dyDescent="0.3">
      <c r="A113" s="75"/>
      <c r="B113" s="75"/>
      <c r="C113" s="75"/>
      <c r="D113" s="75"/>
      <c r="E113" s="75"/>
      <c r="F113" s="75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5.75" customHeight="1" x14ac:dyDescent="0.3">
      <c r="A114" s="75"/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5.75" customHeight="1" x14ac:dyDescent="0.3">
      <c r="A115" s="75"/>
      <c r="B115" s="75"/>
      <c r="C115" s="75"/>
      <c r="D115" s="75"/>
      <c r="E115" s="75"/>
      <c r="F115" s="75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5.75" customHeight="1" x14ac:dyDescent="0.3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5.75" customHeight="1" x14ac:dyDescent="0.3">
      <c r="A117" s="75"/>
      <c r="B117" s="75"/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5.75" customHeight="1" x14ac:dyDescent="0.3">
      <c r="A118" s="75"/>
      <c r="B118" s="75"/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5.75" customHeight="1" x14ac:dyDescent="0.3">
      <c r="A119" s="75"/>
      <c r="B119" s="75"/>
      <c r="C119" s="75"/>
      <c r="D119" s="75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5.75" customHeight="1" x14ac:dyDescent="0.3">
      <c r="A120" s="75"/>
      <c r="B120" s="75"/>
      <c r="C120" s="75"/>
      <c r="D120" s="75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5.75" customHeight="1" x14ac:dyDescent="0.3">
      <c r="A121" s="75"/>
      <c r="B121" s="75"/>
      <c r="C121" s="75"/>
      <c r="D121" s="75"/>
      <c r="E121" s="75"/>
      <c r="F121" s="75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5.75" customHeight="1" x14ac:dyDescent="0.3">
      <c r="A122" s="75"/>
      <c r="B122" s="75"/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5.75" customHeight="1" x14ac:dyDescent="0.3">
      <c r="A123" s="75"/>
      <c r="B123" s="75"/>
      <c r="C123" s="75"/>
      <c r="D123" s="75"/>
      <c r="E123" s="75"/>
      <c r="F123" s="75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5.75" customHeight="1" x14ac:dyDescent="0.3">
      <c r="A124" s="75"/>
      <c r="B124" s="75"/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5.75" customHeight="1" x14ac:dyDescent="0.3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5.75" customHeight="1" x14ac:dyDescent="0.3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5.75" customHeight="1" x14ac:dyDescent="0.3">
      <c r="A127" s="75"/>
      <c r="B127" s="75"/>
      <c r="C127" s="75"/>
      <c r="D127" s="75"/>
      <c r="E127" s="75"/>
      <c r="F127" s="75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5.75" customHeight="1" x14ac:dyDescent="0.3">
      <c r="A128" s="75"/>
      <c r="B128" s="75"/>
      <c r="C128" s="75"/>
      <c r="D128" s="75"/>
      <c r="E128" s="75"/>
      <c r="F128" s="75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5.75" customHeight="1" x14ac:dyDescent="0.3">
      <c r="A129" s="75"/>
      <c r="B129" s="75"/>
      <c r="C129" s="75"/>
      <c r="D129" s="75"/>
      <c r="E129" s="75"/>
      <c r="F129" s="75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5.75" customHeight="1" x14ac:dyDescent="0.3">
      <c r="A130" s="75"/>
      <c r="B130" s="75"/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5.75" customHeight="1" x14ac:dyDescent="0.3">
      <c r="A131" s="75"/>
      <c r="B131" s="75"/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5.75" customHeight="1" x14ac:dyDescent="0.3">
      <c r="A132" s="75"/>
      <c r="B132" s="75"/>
      <c r="C132" s="75"/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5.75" customHeight="1" x14ac:dyDescent="0.3">
      <c r="A133" s="75"/>
      <c r="B133" s="75"/>
      <c r="C133" s="75"/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5.75" customHeight="1" x14ac:dyDescent="0.3">
      <c r="A134" s="75"/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5.75" customHeight="1" x14ac:dyDescent="0.3">
      <c r="A135" s="75"/>
      <c r="B135" s="75"/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5.75" customHeight="1" x14ac:dyDescent="0.3">
      <c r="A136" s="75"/>
      <c r="B136" s="75"/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5.75" customHeight="1" x14ac:dyDescent="0.3">
      <c r="A137" s="75"/>
      <c r="B137" s="75"/>
      <c r="C137" s="75"/>
      <c r="D137" s="75"/>
      <c r="E137" s="75"/>
      <c r="F137" s="75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5.75" customHeight="1" x14ac:dyDescent="0.3">
      <c r="A138" s="75"/>
      <c r="B138" s="75"/>
      <c r="C138" s="75"/>
      <c r="D138" s="75"/>
      <c r="E138" s="75"/>
      <c r="F138" s="75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5.75" customHeight="1" x14ac:dyDescent="0.3">
      <c r="A139" s="75"/>
      <c r="B139" s="75"/>
      <c r="C139" s="75"/>
      <c r="D139" s="75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5.75" customHeight="1" x14ac:dyDescent="0.3">
      <c r="A140" s="75"/>
      <c r="B140" s="75"/>
      <c r="C140" s="75"/>
      <c r="D140" s="75"/>
      <c r="E140" s="75"/>
      <c r="F140" s="75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5.75" customHeight="1" x14ac:dyDescent="0.3">
      <c r="A141" s="75"/>
      <c r="B141" s="75"/>
      <c r="C141" s="75"/>
      <c r="D141" s="75"/>
      <c r="E141" s="75"/>
      <c r="F141" s="75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5.75" customHeight="1" x14ac:dyDescent="0.3">
      <c r="A142" s="75"/>
      <c r="B142" s="75"/>
      <c r="C142" s="75"/>
      <c r="D142" s="75"/>
      <c r="E142" s="75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5.75" customHeight="1" x14ac:dyDescent="0.3">
      <c r="A143" s="75"/>
      <c r="B143" s="75"/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5.75" customHeight="1" x14ac:dyDescent="0.3">
      <c r="A144" s="75"/>
      <c r="B144" s="75"/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5.75" customHeight="1" x14ac:dyDescent="0.3">
      <c r="A145" s="75"/>
      <c r="B145" s="75"/>
      <c r="C145" s="75"/>
      <c r="D145" s="75"/>
      <c r="E145" s="75"/>
      <c r="F145" s="75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5.75" customHeight="1" x14ac:dyDescent="0.3">
      <c r="A146" s="75"/>
      <c r="B146" s="75"/>
      <c r="C146" s="75"/>
      <c r="D146" s="75"/>
      <c r="E146" s="75"/>
      <c r="F146" s="75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5.75" customHeight="1" x14ac:dyDescent="0.3">
      <c r="A147" s="75"/>
      <c r="B147" s="75"/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5.75" customHeight="1" x14ac:dyDescent="0.3">
      <c r="A148" s="75"/>
      <c r="B148" s="75"/>
      <c r="C148" s="75"/>
      <c r="D148" s="75"/>
      <c r="E148" s="75"/>
      <c r="F148" s="75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5.75" customHeight="1" x14ac:dyDescent="0.3">
      <c r="A149" s="75"/>
      <c r="B149" s="75"/>
      <c r="C149" s="75"/>
      <c r="D149" s="75"/>
      <c r="E149" s="75"/>
      <c r="F149" s="75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5.75" customHeight="1" x14ac:dyDescent="0.3">
      <c r="A150" s="75"/>
      <c r="B150" s="75"/>
      <c r="C150" s="75"/>
      <c r="D150" s="75"/>
      <c r="E150" s="75"/>
      <c r="F150" s="75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5.75" customHeight="1" x14ac:dyDescent="0.3">
      <c r="A151" s="75"/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5.75" customHeight="1" x14ac:dyDescent="0.3">
      <c r="A152" s="75"/>
      <c r="B152" s="75"/>
      <c r="C152" s="75"/>
      <c r="D152" s="75"/>
      <c r="E152" s="75"/>
      <c r="F152" s="75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5.75" customHeight="1" x14ac:dyDescent="0.3">
      <c r="A153" s="75"/>
      <c r="B153" s="75"/>
      <c r="C153" s="75"/>
      <c r="D153" s="75"/>
      <c r="E153" s="75"/>
      <c r="F153" s="75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5.75" customHeight="1" x14ac:dyDescent="0.3">
      <c r="A154" s="75"/>
      <c r="B154" s="75"/>
      <c r="C154" s="75"/>
      <c r="D154" s="75"/>
      <c r="E154" s="75"/>
      <c r="F154" s="75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5.75" customHeight="1" x14ac:dyDescent="0.3">
      <c r="A155" s="75"/>
      <c r="B155" s="75"/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5.75" customHeight="1" x14ac:dyDescent="0.3">
      <c r="A156" s="75"/>
      <c r="B156" s="75"/>
      <c r="C156" s="75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5.75" customHeight="1" x14ac:dyDescent="0.3">
      <c r="A157" s="75"/>
      <c r="B157" s="75"/>
      <c r="C157" s="75"/>
      <c r="D157" s="75"/>
      <c r="E157" s="75"/>
      <c r="F157" s="75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5.75" customHeight="1" x14ac:dyDescent="0.3">
      <c r="A158" s="75"/>
      <c r="B158" s="75"/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5.75" customHeight="1" x14ac:dyDescent="0.3">
      <c r="A159" s="75"/>
      <c r="B159" s="75"/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5.75" customHeight="1" x14ac:dyDescent="0.3">
      <c r="A160" s="75"/>
      <c r="B160" s="75"/>
      <c r="C160" s="75"/>
      <c r="D160" s="75"/>
      <c r="E160" s="75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5.75" customHeight="1" x14ac:dyDescent="0.3">
      <c r="A161" s="75"/>
      <c r="B161" s="75"/>
      <c r="C161" s="75"/>
      <c r="D161" s="75"/>
      <c r="E161" s="75"/>
      <c r="F161" s="75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5.75" customHeight="1" x14ac:dyDescent="0.3">
      <c r="A162" s="75"/>
      <c r="B162" s="75"/>
      <c r="C162" s="75"/>
      <c r="D162" s="75"/>
      <c r="E162" s="75"/>
      <c r="F162" s="75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5.75" customHeight="1" x14ac:dyDescent="0.3">
      <c r="A163" s="75"/>
      <c r="B163" s="75"/>
      <c r="C163" s="75"/>
      <c r="D163" s="75"/>
      <c r="E163" s="75"/>
      <c r="F163" s="75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5.75" customHeight="1" x14ac:dyDescent="0.3">
      <c r="A164" s="75"/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5.75" customHeight="1" x14ac:dyDescent="0.3">
      <c r="A165" s="75"/>
      <c r="B165" s="75"/>
      <c r="C165" s="75"/>
      <c r="D165" s="75"/>
      <c r="E165" s="75"/>
      <c r="F165" s="75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5.75" customHeight="1" x14ac:dyDescent="0.3">
      <c r="A166" s="75"/>
      <c r="B166" s="75"/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5.75" customHeight="1" x14ac:dyDescent="0.3">
      <c r="A167" s="75"/>
      <c r="B167" s="75"/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5.75" customHeight="1" x14ac:dyDescent="0.3">
      <c r="A168" s="75"/>
      <c r="B168" s="75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5.75" customHeight="1" x14ac:dyDescent="0.3">
      <c r="A169" s="75"/>
      <c r="B169" s="75"/>
      <c r="C169" s="75"/>
      <c r="D169" s="75"/>
      <c r="E169" s="75"/>
      <c r="F169" s="75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5.75" customHeight="1" x14ac:dyDescent="0.3">
      <c r="A170" s="75"/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5.75" customHeight="1" x14ac:dyDescent="0.3">
      <c r="A171" s="75"/>
      <c r="B171" s="75"/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5.75" customHeight="1" x14ac:dyDescent="0.3">
      <c r="A172" s="75"/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5.75" customHeight="1" x14ac:dyDescent="0.3">
      <c r="A173" s="75"/>
      <c r="B173" s="75"/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5.75" customHeight="1" x14ac:dyDescent="0.3">
      <c r="A174" s="75"/>
      <c r="B174" s="75"/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5.75" customHeight="1" x14ac:dyDescent="0.3">
      <c r="A175" s="75"/>
      <c r="B175" s="75"/>
      <c r="C175" s="75"/>
      <c r="D175" s="75"/>
      <c r="E175" s="75"/>
      <c r="F175" s="75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5.75" customHeight="1" x14ac:dyDescent="0.3">
      <c r="A176" s="75"/>
      <c r="B176" s="75"/>
      <c r="C176" s="75"/>
      <c r="D176" s="75"/>
      <c r="E176" s="75"/>
      <c r="F176" s="75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5.75" customHeight="1" x14ac:dyDescent="0.3">
      <c r="A177" s="75"/>
      <c r="B177" s="75"/>
      <c r="C177" s="75"/>
      <c r="D177" s="75"/>
      <c r="E177" s="75"/>
      <c r="F177" s="75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5.75" customHeight="1" x14ac:dyDescent="0.3">
      <c r="A178" s="75"/>
      <c r="B178" s="75"/>
      <c r="C178" s="75"/>
      <c r="D178" s="75"/>
      <c r="E178" s="75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5.75" customHeight="1" x14ac:dyDescent="0.3">
      <c r="A179" s="75"/>
      <c r="B179" s="75"/>
      <c r="C179" s="75"/>
      <c r="D179" s="75"/>
      <c r="E179" s="75"/>
      <c r="F179" s="75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5.75" customHeight="1" x14ac:dyDescent="0.3">
      <c r="A180" s="75"/>
      <c r="B180" s="75"/>
      <c r="C180" s="75"/>
      <c r="D180" s="75"/>
      <c r="E180" s="75"/>
      <c r="F180" s="75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5.75" customHeight="1" x14ac:dyDescent="0.3">
      <c r="A181" s="75"/>
      <c r="B181" s="75"/>
      <c r="C181" s="75"/>
      <c r="D181" s="75"/>
      <c r="E181" s="75"/>
      <c r="F181" s="75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5.75" customHeight="1" x14ac:dyDescent="0.3">
      <c r="A182" s="75"/>
      <c r="B182" s="75"/>
      <c r="C182" s="75"/>
      <c r="D182" s="75"/>
      <c r="E182" s="75"/>
      <c r="F182" s="75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5.75" customHeight="1" x14ac:dyDescent="0.3">
      <c r="A183" s="75"/>
      <c r="B183" s="75"/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5.75" customHeight="1" x14ac:dyDescent="0.3">
      <c r="A184" s="75"/>
      <c r="B184" s="75"/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5.75" customHeight="1" x14ac:dyDescent="0.3">
      <c r="A185" s="75"/>
      <c r="B185" s="75"/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5.75" customHeight="1" x14ac:dyDescent="0.3">
      <c r="A186" s="75"/>
      <c r="B186" s="75"/>
      <c r="C186" s="75"/>
      <c r="D186" s="75"/>
      <c r="E186" s="75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5.75" customHeight="1" x14ac:dyDescent="0.3">
      <c r="A187" s="75"/>
      <c r="B187" s="75"/>
      <c r="C187" s="75"/>
      <c r="D187" s="75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5.75" customHeight="1" x14ac:dyDescent="0.3">
      <c r="A188" s="75"/>
      <c r="B188" s="75"/>
      <c r="C188" s="75"/>
      <c r="D188" s="75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5.75" customHeight="1" x14ac:dyDescent="0.3">
      <c r="A189" s="75"/>
      <c r="B189" s="75"/>
      <c r="C189" s="75"/>
      <c r="D189" s="75"/>
      <c r="E189" s="75"/>
      <c r="F189" s="75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5.75" customHeight="1" x14ac:dyDescent="0.3">
      <c r="A190" s="75"/>
      <c r="B190" s="75"/>
      <c r="C190" s="75"/>
      <c r="D190" s="75"/>
      <c r="E190" s="75"/>
      <c r="F190" s="75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5.75" customHeight="1" x14ac:dyDescent="0.3">
      <c r="A191" s="75"/>
      <c r="B191" s="75"/>
      <c r="C191" s="75"/>
      <c r="D191" s="75"/>
      <c r="E191" s="75"/>
      <c r="F191" s="75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5.75" customHeight="1" x14ac:dyDescent="0.3">
      <c r="A192" s="75"/>
      <c r="B192" s="75"/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5.75" customHeight="1" x14ac:dyDescent="0.3">
      <c r="A193" s="75"/>
      <c r="B193" s="75"/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5.75" customHeight="1" x14ac:dyDescent="0.3">
      <c r="A194" s="75"/>
      <c r="B194" s="75"/>
      <c r="C194" s="75"/>
      <c r="D194" s="75"/>
      <c r="E194" s="75"/>
      <c r="F194" s="75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5.75" customHeight="1" x14ac:dyDescent="0.3">
      <c r="A195" s="75"/>
      <c r="B195" s="75"/>
      <c r="C195" s="75"/>
      <c r="D195" s="75"/>
      <c r="E195" s="75"/>
      <c r="F195" s="75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5.75" customHeight="1" x14ac:dyDescent="0.3">
      <c r="A196" s="75"/>
      <c r="B196" s="75"/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5.75" customHeight="1" x14ac:dyDescent="0.3">
      <c r="A197" s="75"/>
      <c r="B197" s="75"/>
      <c r="C197" s="75"/>
      <c r="D197" s="75"/>
      <c r="E197" s="75"/>
      <c r="F197" s="75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5.75" customHeight="1" x14ac:dyDescent="0.3">
      <c r="A198" s="75"/>
      <c r="B198" s="75"/>
      <c r="C198" s="75"/>
      <c r="D198" s="75"/>
      <c r="E198" s="75"/>
      <c r="F198" s="75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5.75" customHeight="1" x14ac:dyDescent="0.3">
      <c r="A199" s="75"/>
      <c r="B199" s="75"/>
      <c r="C199" s="75"/>
      <c r="D199" s="75"/>
      <c r="E199" s="75"/>
      <c r="F199" s="75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5.75" customHeight="1" x14ac:dyDescent="0.3">
      <c r="A200" s="75"/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5.75" customHeight="1" x14ac:dyDescent="0.3">
      <c r="A201" s="75"/>
      <c r="B201" s="75"/>
      <c r="C201" s="75"/>
      <c r="D201" s="75"/>
      <c r="E201" s="75"/>
      <c r="F201" s="75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5.75" customHeight="1" x14ac:dyDescent="0.3">
      <c r="A202" s="75"/>
      <c r="B202" s="75"/>
      <c r="C202" s="75"/>
      <c r="D202" s="75"/>
      <c r="E202" s="75"/>
      <c r="F202" s="75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5.75" customHeight="1" x14ac:dyDescent="0.3">
      <c r="A203" s="75"/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5.75" customHeight="1" x14ac:dyDescent="0.3">
      <c r="A204" s="75"/>
      <c r="B204" s="75"/>
      <c r="C204" s="75"/>
      <c r="D204" s="75"/>
      <c r="E204" s="75"/>
      <c r="F204" s="75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5.75" customHeight="1" x14ac:dyDescent="0.3">
      <c r="A205" s="75"/>
      <c r="B205" s="75"/>
      <c r="C205" s="75"/>
      <c r="D205" s="75"/>
      <c r="E205" s="75"/>
      <c r="F205" s="75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5.75" customHeight="1" x14ac:dyDescent="0.3">
      <c r="A206" s="75"/>
      <c r="B206" s="75"/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5.75" customHeight="1" x14ac:dyDescent="0.3">
      <c r="A207" s="75"/>
      <c r="B207" s="75"/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5.75" customHeight="1" x14ac:dyDescent="0.3">
      <c r="A208" s="75"/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5.75" customHeight="1" x14ac:dyDescent="0.3">
      <c r="A209" s="75"/>
      <c r="B209" s="75"/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5.75" customHeight="1" x14ac:dyDescent="0.3">
      <c r="A210" s="75"/>
      <c r="B210" s="75"/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5.75" customHeight="1" x14ac:dyDescent="0.3">
      <c r="A211" s="75"/>
      <c r="B211" s="75"/>
      <c r="C211" s="75"/>
      <c r="D211" s="75"/>
      <c r="E211" s="75"/>
      <c r="F211" s="75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5.75" customHeight="1" x14ac:dyDescent="0.3">
      <c r="A212" s="75"/>
      <c r="B212" s="75"/>
      <c r="C212" s="75"/>
      <c r="D212" s="75"/>
      <c r="E212" s="75"/>
      <c r="F212" s="75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5.75" customHeight="1" x14ac:dyDescent="0.3">
      <c r="A213" s="75"/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5.75" customHeight="1" x14ac:dyDescent="0.3">
      <c r="A214" s="75"/>
      <c r="B214" s="75"/>
      <c r="C214" s="75"/>
      <c r="D214" s="75"/>
      <c r="E214" s="75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5.75" customHeight="1" x14ac:dyDescent="0.3">
      <c r="A215" s="75"/>
      <c r="B215" s="75"/>
      <c r="C215" s="75"/>
      <c r="D215" s="75"/>
      <c r="E215" s="75"/>
      <c r="F215" s="75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5.75" customHeight="1" x14ac:dyDescent="0.3">
      <c r="A216" s="75"/>
      <c r="B216" s="75"/>
      <c r="C216" s="75"/>
      <c r="D216" s="75"/>
      <c r="E216" s="75"/>
      <c r="F216" s="75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5.75" customHeight="1" x14ac:dyDescent="0.3">
      <c r="A217" s="75"/>
      <c r="B217" s="75"/>
      <c r="C217" s="75"/>
      <c r="D217" s="75"/>
      <c r="E217" s="75"/>
      <c r="F217" s="75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5.75" customHeight="1" x14ac:dyDescent="0.3">
      <c r="A218" s="75"/>
      <c r="B218" s="75"/>
      <c r="C218" s="75"/>
      <c r="D218" s="75"/>
      <c r="E218" s="75"/>
      <c r="F218" s="75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5.75" customHeight="1" x14ac:dyDescent="0.3">
      <c r="A219" s="75"/>
      <c r="B219" s="75"/>
      <c r="C219" s="75"/>
      <c r="D219" s="75"/>
      <c r="E219" s="75"/>
      <c r="F219" s="75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5.75" customHeight="1" x14ac:dyDescent="0.3">
      <c r="A220" s="75"/>
      <c r="B220" s="75"/>
      <c r="C220" s="75"/>
      <c r="D220" s="75"/>
      <c r="E220" s="75"/>
      <c r="F220" s="75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5.75" customHeight="1" x14ac:dyDescent="0.3">
      <c r="A221" s="75"/>
      <c r="B221" s="75"/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5.75" customHeight="1" x14ac:dyDescent="0.3">
      <c r="A222" s="75"/>
      <c r="B222" s="75"/>
      <c r="C222" s="75"/>
      <c r="D222" s="75"/>
      <c r="E222" s="75"/>
      <c r="F222" s="75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5.75" customHeight="1" x14ac:dyDescent="0.3">
      <c r="A223" s="75"/>
      <c r="B223" s="75"/>
      <c r="C223" s="75"/>
      <c r="D223" s="75"/>
      <c r="E223" s="75"/>
      <c r="F223" s="75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5.75" customHeight="1" x14ac:dyDescent="0.3">
      <c r="A224" s="75"/>
      <c r="B224" s="75"/>
      <c r="C224" s="75"/>
      <c r="D224" s="75"/>
      <c r="E224" s="75"/>
      <c r="F224" s="75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5.75" customHeight="1" x14ac:dyDescent="0.3">
      <c r="A225" s="75"/>
      <c r="B225" s="75"/>
      <c r="C225" s="75"/>
      <c r="D225" s="75"/>
      <c r="E225" s="75"/>
      <c r="F225" s="75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5.75" customHeight="1" x14ac:dyDescent="0.3">
      <c r="A226" s="75"/>
      <c r="B226" s="75"/>
      <c r="C226" s="75"/>
      <c r="D226" s="75"/>
      <c r="E226" s="75"/>
      <c r="F226" s="75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5.75" customHeight="1" x14ac:dyDescent="0.3">
      <c r="A227" s="75"/>
      <c r="B227" s="75"/>
      <c r="C227" s="75"/>
      <c r="D227" s="75"/>
      <c r="E227" s="75"/>
      <c r="F227" s="75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5.75" customHeight="1" x14ac:dyDescent="0.3">
      <c r="A228" s="75"/>
      <c r="B228" s="75"/>
      <c r="C228" s="75"/>
      <c r="D228" s="75"/>
      <c r="E228" s="75"/>
      <c r="F228" s="75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5.75" customHeight="1" x14ac:dyDescent="0.3">
      <c r="A229" s="75"/>
      <c r="B229" s="75"/>
      <c r="C229" s="75"/>
      <c r="D229" s="75"/>
      <c r="E229" s="75"/>
      <c r="F229" s="75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5.75" customHeight="1" x14ac:dyDescent="0.3">
      <c r="A230" s="75"/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5.75" customHeight="1" x14ac:dyDescent="0.3">
      <c r="A231" s="75"/>
      <c r="B231" s="75"/>
      <c r="C231" s="75"/>
      <c r="D231" s="75"/>
      <c r="E231" s="75"/>
      <c r="F231" s="75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5.75" customHeight="1" x14ac:dyDescent="0.3">
      <c r="A232" s="75"/>
      <c r="B232" s="75"/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5.75" customHeight="1" x14ac:dyDescent="0.3">
      <c r="A233" s="75"/>
      <c r="B233" s="75"/>
      <c r="C233" s="75"/>
      <c r="D233" s="75"/>
      <c r="E233" s="75"/>
      <c r="F233" s="75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5.75" customHeight="1" x14ac:dyDescent="0.3">
      <c r="A234" s="75"/>
      <c r="B234" s="75"/>
      <c r="C234" s="75"/>
      <c r="D234" s="75"/>
      <c r="E234" s="75"/>
      <c r="F234" s="75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5.75" customHeight="1" x14ac:dyDescent="0.3">
      <c r="A235" s="75"/>
      <c r="B235" s="75"/>
      <c r="C235" s="75"/>
      <c r="D235" s="75"/>
      <c r="E235" s="75"/>
      <c r="F235" s="75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5.75" customHeight="1" x14ac:dyDescent="0.3">
      <c r="A236" s="75"/>
      <c r="B236" s="75"/>
      <c r="C236" s="75"/>
      <c r="D236" s="75"/>
      <c r="E236" s="75"/>
      <c r="F236" s="75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5.75" customHeight="1" x14ac:dyDescent="0.3">
      <c r="A237" s="75"/>
      <c r="B237" s="75"/>
      <c r="C237" s="75"/>
      <c r="D237" s="75"/>
      <c r="E237" s="75"/>
      <c r="F237" s="75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5.75" customHeight="1" x14ac:dyDescent="0.3">
      <c r="A238" s="75"/>
      <c r="B238" s="75"/>
      <c r="C238" s="75"/>
      <c r="D238" s="75"/>
      <c r="E238" s="75"/>
      <c r="F238" s="75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5.75" customHeight="1" x14ac:dyDescent="0.3">
      <c r="A239" s="75"/>
      <c r="B239" s="75"/>
      <c r="C239" s="75"/>
      <c r="D239" s="75"/>
      <c r="E239" s="75"/>
      <c r="F239" s="75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5.75" customHeight="1" x14ac:dyDescent="0.3">
      <c r="A240" s="75"/>
      <c r="B240" s="75"/>
      <c r="C240" s="75"/>
      <c r="D240" s="75"/>
      <c r="E240" s="75"/>
      <c r="F240" s="75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5.75" customHeight="1" x14ac:dyDescent="0.3">
      <c r="A241" s="75"/>
      <c r="B241" s="75"/>
      <c r="C241" s="75"/>
      <c r="D241" s="75"/>
      <c r="E241" s="75"/>
      <c r="F241" s="75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5.75" customHeight="1" x14ac:dyDescent="0.3">
      <c r="A242" s="75"/>
      <c r="B242" s="75"/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5.75" customHeight="1" x14ac:dyDescent="0.3">
      <c r="A243" s="75"/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5.75" customHeight="1" x14ac:dyDescent="0.3">
      <c r="A244" s="75"/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5.75" customHeight="1" x14ac:dyDescent="0.3">
      <c r="A245" s="75"/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5.75" customHeight="1" x14ac:dyDescent="0.3">
      <c r="A246" s="75"/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5.75" customHeight="1" x14ac:dyDescent="0.3">
      <c r="A247" s="75"/>
      <c r="B247" s="75"/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5.75" customHeight="1" x14ac:dyDescent="0.3">
      <c r="A248" s="75"/>
      <c r="B248" s="75"/>
      <c r="C248" s="75"/>
      <c r="D248" s="75"/>
      <c r="E248" s="75"/>
      <c r="F248" s="75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5.75" customHeight="1" x14ac:dyDescent="0.3">
      <c r="A249" s="75"/>
      <c r="B249" s="75"/>
      <c r="C249" s="75"/>
      <c r="D249" s="75"/>
      <c r="E249" s="75"/>
      <c r="F249" s="75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5.75" customHeight="1" x14ac:dyDescent="0.3">
      <c r="A250" s="75"/>
      <c r="B250" s="75"/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5.75" customHeight="1" x14ac:dyDescent="0.3">
      <c r="A251" s="75"/>
      <c r="B251" s="75"/>
      <c r="C251" s="75"/>
      <c r="D251" s="75"/>
      <c r="E251" s="75"/>
      <c r="F251" s="75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5.75" customHeight="1" x14ac:dyDescent="0.3">
      <c r="A252" s="75"/>
      <c r="B252" s="75"/>
      <c r="C252" s="75"/>
      <c r="D252" s="75"/>
      <c r="E252" s="75"/>
      <c r="F252" s="75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5.75" customHeight="1" x14ac:dyDescent="0.3">
      <c r="A253" s="75"/>
      <c r="B253" s="75"/>
      <c r="C253" s="75"/>
      <c r="D253" s="75"/>
      <c r="E253" s="75"/>
      <c r="F253" s="75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5.75" customHeight="1" x14ac:dyDescent="0.3">
      <c r="A254" s="75"/>
      <c r="B254" s="75"/>
      <c r="C254" s="75"/>
      <c r="D254" s="75"/>
      <c r="E254" s="75"/>
      <c r="F254" s="75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5.75" customHeight="1" x14ac:dyDescent="0.3">
      <c r="A255" s="75"/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5.75" customHeight="1" x14ac:dyDescent="0.3">
      <c r="A256" s="75"/>
      <c r="B256" s="75"/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5.75" customHeight="1" x14ac:dyDescent="0.3">
      <c r="A257" s="75"/>
      <c r="B257" s="75"/>
      <c r="C257" s="75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5.75" customHeight="1" x14ac:dyDescent="0.3">
      <c r="A258" s="75"/>
      <c r="B258" s="75"/>
      <c r="C258" s="75"/>
      <c r="D258" s="75"/>
      <c r="E258" s="75"/>
      <c r="F258" s="75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5.75" customHeight="1" x14ac:dyDescent="0.3">
      <c r="A259" s="75"/>
      <c r="B259" s="75"/>
      <c r="C259" s="75"/>
      <c r="D259" s="75"/>
      <c r="E259" s="75"/>
      <c r="F259" s="75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5.75" customHeight="1" x14ac:dyDescent="0.3">
      <c r="A260" s="75"/>
      <c r="B260" s="75"/>
      <c r="C260" s="75"/>
      <c r="D260" s="75"/>
      <c r="E260" s="75"/>
      <c r="F260" s="75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5.75" customHeight="1" x14ac:dyDescent="0.3">
      <c r="A261" s="75"/>
      <c r="B261" s="75"/>
      <c r="C261" s="75"/>
      <c r="D261" s="75"/>
      <c r="E261" s="75"/>
      <c r="F261" s="75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5.75" customHeight="1" x14ac:dyDescent="0.3">
      <c r="A262" s="75"/>
      <c r="B262" s="75"/>
      <c r="C262" s="75"/>
      <c r="D262" s="75"/>
      <c r="E262" s="75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5.75" customHeight="1" x14ac:dyDescent="0.3">
      <c r="A263" s="75"/>
      <c r="B263" s="75"/>
      <c r="C263" s="75"/>
      <c r="D263" s="75"/>
      <c r="E263" s="75"/>
      <c r="F263" s="75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5.75" customHeight="1" x14ac:dyDescent="0.3">
      <c r="A264" s="75"/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5.75" customHeight="1" x14ac:dyDescent="0.3">
      <c r="A265" s="75"/>
      <c r="B265" s="75"/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5.75" customHeight="1" x14ac:dyDescent="0.3">
      <c r="A266" s="75"/>
      <c r="B266" s="75"/>
      <c r="C266" s="75"/>
      <c r="D266" s="75"/>
      <c r="E266" s="75"/>
      <c r="F266" s="75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5.75" customHeight="1" x14ac:dyDescent="0.3">
      <c r="A267" s="75"/>
      <c r="B267" s="75"/>
      <c r="C267" s="75"/>
      <c r="D267" s="75"/>
      <c r="E267" s="75"/>
      <c r="F267" s="75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5.75" customHeight="1" x14ac:dyDescent="0.3">
      <c r="A268" s="75"/>
      <c r="B268" s="75"/>
      <c r="C268" s="75"/>
      <c r="D268" s="75"/>
      <c r="E268" s="75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5.75" customHeight="1" x14ac:dyDescent="0.3">
      <c r="A269" s="75"/>
      <c r="B269" s="75"/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5.75" customHeight="1" x14ac:dyDescent="0.3">
      <c r="A270" s="75"/>
      <c r="B270" s="75"/>
      <c r="C270" s="75"/>
      <c r="D270" s="75"/>
      <c r="E270" s="75"/>
      <c r="F270" s="75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5.75" customHeight="1" x14ac:dyDescent="0.3">
      <c r="A271" s="75"/>
      <c r="B271" s="75"/>
      <c r="C271" s="75"/>
      <c r="D271" s="75"/>
      <c r="E271" s="75"/>
      <c r="F271" s="75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5.75" customHeight="1" x14ac:dyDescent="0.3">
      <c r="A272" s="75"/>
      <c r="B272" s="75"/>
      <c r="C272" s="75"/>
      <c r="D272" s="75"/>
      <c r="E272" s="75"/>
      <c r="F272" s="75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5.75" customHeight="1" x14ac:dyDescent="0.3">
      <c r="A273" s="75"/>
      <c r="B273" s="75"/>
      <c r="C273" s="75"/>
      <c r="D273" s="75"/>
      <c r="E273" s="75"/>
      <c r="F273" s="75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5.75" customHeight="1" x14ac:dyDescent="0.3">
      <c r="A274" s="75"/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5.75" customHeight="1" x14ac:dyDescent="0.3">
      <c r="A275" s="75"/>
      <c r="B275" s="75"/>
      <c r="C275" s="75"/>
      <c r="D275" s="75"/>
      <c r="E275" s="75"/>
      <c r="F275" s="75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5.75" customHeight="1" x14ac:dyDescent="0.3">
      <c r="A276" s="75"/>
      <c r="B276" s="75"/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5.75" customHeight="1" x14ac:dyDescent="0.3">
      <c r="A277" s="75"/>
      <c r="B277" s="75"/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5.75" customHeight="1" x14ac:dyDescent="0.3">
      <c r="A278" s="75"/>
      <c r="B278" s="75"/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5.75" customHeight="1" x14ac:dyDescent="0.3">
      <c r="A279" s="75"/>
      <c r="B279" s="75"/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5.75" customHeight="1" x14ac:dyDescent="0.3">
      <c r="A280" s="75"/>
      <c r="B280" s="75"/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5.75" customHeight="1" x14ac:dyDescent="0.3">
      <c r="A281" s="75"/>
      <c r="B281" s="75"/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5.75" customHeight="1" x14ac:dyDescent="0.3">
      <c r="A282" s="75"/>
      <c r="B282" s="75"/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5.75" customHeight="1" x14ac:dyDescent="0.3">
      <c r="A283" s="75"/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5.75" customHeight="1" x14ac:dyDescent="0.3">
      <c r="A284" s="75"/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5.75" customHeight="1" x14ac:dyDescent="0.3">
      <c r="A285" s="75"/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5.75" customHeight="1" x14ac:dyDescent="0.3">
      <c r="A286" s="75"/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5.75" customHeight="1" x14ac:dyDescent="0.3">
      <c r="A287" s="75"/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5.75" customHeight="1" x14ac:dyDescent="0.3">
      <c r="A288" s="75"/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5.75" customHeight="1" x14ac:dyDescent="0.3">
      <c r="A289" s="75"/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5.75" customHeight="1" x14ac:dyDescent="0.3">
      <c r="A290" s="75"/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5.75" customHeight="1" x14ac:dyDescent="0.3">
      <c r="A291" s="75"/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5.75" customHeight="1" x14ac:dyDescent="0.3">
      <c r="A292" s="75"/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5.75" customHeight="1" x14ac:dyDescent="0.3">
      <c r="A293" s="75"/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5.75" customHeight="1" x14ac:dyDescent="0.3">
      <c r="A294" s="75"/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5.75" customHeight="1" x14ac:dyDescent="0.3">
      <c r="A295" s="75"/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5.75" customHeight="1" x14ac:dyDescent="0.3">
      <c r="A296" s="75"/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5.75" customHeight="1" x14ac:dyDescent="0.3">
      <c r="A297" s="75"/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5.75" customHeight="1" x14ac:dyDescent="0.3">
      <c r="A298" s="75"/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5.75" customHeight="1" x14ac:dyDescent="0.3">
      <c r="A299" s="75"/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5.75" customHeight="1" x14ac:dyDescent="0.3">
      <c r="A300" s="75"/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5.75" customHeight="1" x14ac:dyDescent="0.3">
      <c r="A301" s="75"/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5.75" customHeight="1" x14ac:dyDescent="0.3">
      <c r="A302" s="75"/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5.75" customHeight="1" x14ac:dyDescent="0.3">
      <c r="A303" s="75"/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5.75" customHeight="1" x14ac:dyDescent="0.3">
      <c r="A304" s="75"/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5.75" customHeight="1" x14ac:dyDescent="0.3">
      <c r="A305" s="75"/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5.75" customHeight="1" x14ac:dyDescent="0.3">
      <c r="A306" s="75"/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5.75" customHeight="1" x14ac:dyDescent="0.3">
      <c r="A307" s="75"/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5.75" customHeight="1" x14ac:dyDescent="0.3">
      <c r="A308" s="75"/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5.75" customHeight="1" x14ac:dyDescent="0.3">
      <c r="A309" s="75"/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5.75" customHeight="1" x14ac:dyDescent="0.3">
      <c r="A310" s="75"/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5.75" customHeight="1" x14ac:dyDescent="0.3">
      <c r="A311" s="75"/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5.75" customHeight="1" x14ac:dyDescent="0.3">
      <c r="A312" s="75"/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5.75" customHeight="1" x14ac:dyDescent="0.3">
      <c r="A313" s="75"/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5.75" customHeight="1" x14ac:dyDescent="0.3">
      <c r="A314" s="75"/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5.75" customHeight="1" x14ac:dyDescent="0.3">
      <c r="A315" s="75"/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5.75" customHeight="1" x14ac:dyDescent="0.3">
      <c r="A316" s="75"/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5.75" customHeight="1" x14ac:dyDescent="0.3">
      <c r="A317" s="75"/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5.75" customHeight="1" x14ac:dyDescent="0.3">
      <c r="A318" s="75"/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5.75" customHeight="1" x14ac:dyDescent="0.3">
      <c r="A319" s="75"/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5.75" customHeight="1" x14ac:dyDescent="0.3">
      <c r="A320" s="75"/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5.75" customHeight="1" x14ac:dyDescent="0.3">
      <c r="A321" s="75"/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5.75" customHeight="1" x14ac:dyDescent="0.3">
      <c r="A322" s="75"/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5.75" customHeight="1" x14ac:dyDescent="0.3">
      <c r="A323" s="75"/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5.75" customHeight="1" x14ac:dyDescent="0.3">
      <c r="A324" s="75"/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5.75" customHeight="1" x14ac:dyDescent="0.3">
      <c r="A325" s="75"/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5.75" customHeight="1" x14ac:dyDescent="0.3">
      <c r="A326" s="75"/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5.75" customHeight="1" x14ac:dyDescent="0.3">
      <c r="A327" s="75"/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5.75" customHeight="1" x14ac:dyDescent="0.3">
      <c r="A328" s="75"/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5.75" customHeight="1" x14ac:dyDescent="0.3">
      <c r="A329" s="75"/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5.75" customHeight="1" x14ac:dyDescent="0.3">
      <c r="A330" s="75"/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5.75" customHeight="1" x14ac:dyDescent="0.3">
      <c r="A331" s="75"/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5.75" customHeight="1" x14ac:dyDescent="0.3">
      <c r="A332" s="75"/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5.75" customHeight="1" x14ac:dyDescent="0.3">
      <c r="A333" s="75"/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5.75" customHeight="1" x14ac:dyDescent="0.3">
      <c r="A334" s="75"/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5.75" customHeight="1" x14ac:dyDescent="0.3">
      <c r="A335" s="75"/>
      <c r="B335" s="75"/>
      <c r="C335" s="75"/>
      <c r="D335" s="75"/>
      <c r="E335" s="75"/>
      <c r="F335" s="75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5.75" customHeight="1" x14ac:dyDescent="0.3">
      <c r="A336" s="75"/>
      <c r="B336" s="75"/>
      <c r="C336" s="75"/>
      <c r="D336" s="75"/>
      <c r="E336" s="75"/>
      <c r="F336" s="75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5.75" customHeight="1" x14ac:dyDescent="0.3">
      <c r="A337" s="75"/>
      <c r="B337" s="75"/>
      <c r="C337" s="75"/>
      <c r="D337" s="75"/>
      <c r="E337" s="75"/>
      <c r="F337" s="75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5.75" customHeight="1" x14ac:dyDescent="0.3">
      <c r="A338" s="75"/>
      <c r="B338" s="75"/>
      <c r="C338" s="75"/>
      <c r="D338" s="75"/>
      <c r="E338" s="75"/>
      <c r="F338" s="75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5.75" customHeight="1" x14ac:dyDescent="0.3">
      <c r="A339" s="75"/>
      <c r="B339" s="75"/>
      <c r="C339" s="75"/>
      <c r="D339" s="75"/>
      <c r="E339" s="75"/>
      <c r="F339" s="75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5.75" customHeight="1" x14ac:dyDescent="0.3">
      <c r="A340" s="75"/>
      <c r="B340" s="75"/>
      <c r="C340" s="75"/>
      <c r="D340" s="75"/>
      <c r="E340" s="75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5.75" customHeight="1" x14ac:dyDescent="0.3">
      <c r="A341" s="75"/>
      <c r="B341" s="75"/>
      <c r="C341" s="75"/>
      <c r="D341" s="75"/>
      <c r="E341" s="75"/>
      <c r="F341" s="75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5.75" customHeight="1" x14ac:dyDescent="0.3">
      <c r="A342" s="75"/>
      <c r="B342" s="75"/>
      <c r="C342" s="75"/>
      <c r="D342" s="75"/>
      <c r="E342" s="75"/>
      <c r="F342" s="75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5.75" customHeight="1" x14ac:dyDescent="0.3">
      <c r="A343" s="75"/>
      <c r="B343" s="75"/>
      <c r="C343" s="75"/>
      <c r="D343" s="75"/>
      <c r="E343" s="75"/>
      <c r="F343" s="75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5.75" customHeight="1" x14ac:dyDescent="0.3">
      <c r="A344" s="75"/>
      <c r="B344" s="75"/>
      <c r="C344" s="75"/>
      <c r="D344" s="75"/>
      <c r="E344" s="75"/>
      <c r="F344" s="75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5.75" customHeight="1" x14ac:dyDescent="0.3">
      <c r="A345" s="75"/>
      <c r="B345" s="75"/>
      <c r="C345" s="75"/>
      <c r="D345" s="75"/>
      <c r="E345" s="75"/>
      <c r="F345" s="75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5.75" customHeight="1" x14ac:dyDescent="0.3">
      <c r="A346" s="75"/>
      <c r="B346" s="75"/>
      <c r="C346" s="75"/>
      <c r="D346" s="75"/>
      <c r="E346" s="75"/>
      <c r="F346" s="75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5.75" customHeight="1" x14ac:dyDescent="0.3">
      <c r="A347" s="75"/>
      <c r="B347" s="75"/>
      <c r="C347" s="75"/>
      <c r="D347" s="75"/>
      <c r="E347" s="75"/>
      <c r="F347" s="75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5.75" customHeight="1" x14ac:dyDescent="0.3">
      <c r="A348" s="75"/>
      <c r="B348" s="75"/>
      <c r="C348" s="75"/>
      <c r="D348" s="75"/>
      <c r="E348" s="75"/>
      <c r="F348" s="75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5.75" customHeight="1" x14ac:dyDescent="0.3">
      <c r="A349" s="75"/>
      <c r="B349" s="75"/>
      <c r="C349" s="75"/>
      <c r="D349" s="75"/>
      <c r="E349" s="75"/>
      <c r="F349" s="75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5.75" customHeight="1" x14ac:dyDescent="0.3">
      <c r="A350" s="75"/>
      <c r="B350" s="75"/>
      <c r="C350" s="75"/>
      <c r="D350" s="75"/>
      <c r="E350" s="75"/>
      <c r="F350" s="75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5.75" customHeight="1" x14ac:dyDescent="0.3">
      <c r="A351" s="75"/>
      <c r="B351" s="75"/>
      <c r="C351" s="75"/>
      <c r="D351" s="75"/>
      <c r="E351" s="75"/>
      <c r="F351" s="75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5.75" customHeight="1" x14ac:dyDescent="0.3">
      <c r="A352" s="75"/>
      <c r="B352" s="75"/>
      <c r="C352" s="75"/>
      <c r="D352" s="75"/>
      <c r="E352" s="75"/>
      <c r="F352" s="75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5.75" customHeight="1" x14ac:dyDescent="0.3">
      <c r="A353" s="75"/>
      <c r="B353" s="75"/>
      <c r="C353" s="75"/>
      <c r="D353" s="75"/>
      <c r="E353" s="75"/>
      <c r="F353" s="75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5.75" customHeight="1" x14ac:dyDescent="0.3">
      <c r="A354" s="75"/>
      <c r="B354" s="75"/>
      <c r="C354" s="75"/>
      <c r="D354" s="75"/>
      <c r="E354" s="75"/>
      <c r="F354" s="75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5.75" customHeight="1" x14ac:dyDescent="0.3">
      <c r="A355" s="75"/>
      <c r="B355" s="75"/>
      <c r="C355" s="75"/>
      <c r="D355" s="75"/>
      <c r="E355" s="75"/>
      <c r="F355" s="75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5.75" customHeight="1" x14ac:dyDescent="0.3">
      <c r="A356" s="75"/>
      <c r="B356" s="75"/>
      <c r="C356" s="75"/>
      <c r="D356" s="75"/>
      <c r="E356" s="75"/>
      <c r="F356" s="75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5.75" customHeight="1" x14ac:dyDescent="0.3">
      <c r="A357" s="75"/>
      <c r="B357" s="75"/>
      <c r="C357" s="75"/>
      <c r="D357" s="75"/>
      <c r="E357" s="75"/>
      <c r="F357" s="75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5.75" customHeight="1" x14ac:dyDescent="0.3">
      <c r="A358" s="75"/>
      <c r="B358" s="75"/>
      <c r="C358" s="75"/>
      <c r="D358" s="75"/>
      <c r="E358" s="75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5.75" customHeight="1" x14ac:dyDescent="0.3">
      <c r="A359" s="75"/>
      <c r="B359" s="75"/>
      <c r="C359" s="75"/>
      <c r="D359" s="75"/>
      <c r="E359" s="75"/>
      <c r="F359" s="75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5.75" customHeight="1" x14ac:dyDescent="0.3">
      <c r="A360" s="75"/>
      <c r="B360" s="75"/>
      <c r="C360" s="75"/>
      <c r="D360" s="75"/>
      <c r="E360" s="75"/>
      <c r="F360" s="75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5.75" customHeight="1" x14ac:dyDescent="0.3">
      <c r="A361" s="75"/>
      <c r="B361" s="75"/>
      <c r="C361" s="75"/>
      <c r="D361" s="75"/>
      <c r="E361" s="75"/>
      <c r="F361" s="75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5.75" customHeight="1" x14ac:dyDescent="0.3">
      <c r="A362" s="75"/>
      <c r="B362" s="75"/>
      <c r="C362" s="75"/>
      <c r="D362" s="75"/>
      <c r="E362" s="75"/>
      <c r="F362" s="75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5.75" customHeight="1" x14ac:dyDescent="0.3">
      <c r="A363" s="75"/>
      <c r="B363" s="75"/>
      <c r="C363" s="75"/>
      <c r="D363" s="75"/>
      <c r="E363" s="75"/>
      <c r="F363" s="75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5.75" customHeight="1" x14ac:dyDescent="0.3">
      <c r="A364" s="75"/>
      <c r="B364" s="75"/>
      <c r="C364" s="75"/>
      <c r="D364" s="75"/>
      <c r="E364" s="75"/>
      <c r="F364" s="75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5.75" customHeight="1" x14ac:dyDescent="0.3">
      <c r="A365" s="75"/>
      <c r="B365" s="75"/>
      <c r="C365" s="75"/>
      <c r="D365" s="75"/>
      <c r="E365" s="75"/>
      <c r="F365" s="75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5.75" customHeight="1" x14ac:dyDescent="0.3">
      <c r="A366" s="75"/>
      <c r="B366" s="75"/>
      <c r="C366" s="75"/>
      <c r="D366" s="75"/>
      <c r="E366" s="75"/>
      <c r="F366" s="75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5.75" customHeight="1" x14ac:dyDescent="0.3">
      <c r="A367" s="75"/>
      <c r="B367" s="75"/>
      <c r="C367" s="75"/>
      <c r="D367" s="75"/>
      <c r="E367" s="75"/>
      <c r="F367" s="75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5.75" customHeight="1" x14ac:dyDescent="0.3">
      <c r="A368" s="75"/>
      <c r="B368" s="75"/>
      <c r="C368" s="75"/>
      <c r="D368" s="75"/>
      <c r="E368" s="75"/>
      <c r="F368" s="75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5.75" customHeight="1" x14ac:dyDescent="0.3">
      <c r="A369" s="75"/>
      <c r="B369" s="75"/>
      <c r="C369" s="75"/>
      <c r="D369" s="75"/>
      <c r="E369" s="75"/>
      <c r="F369" s="75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5.75" customHeight="1" x14ac:dyDescent="0.3">
      <c r="A370" s="75"/>
      <c r="B370" s="75"/>
      <c r="C370" s="75"/>
      <c r="D370" s="75"/>
      <c r="E370" s="75"/>
      <c r="F370" s="75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5.75" customHeight="1" x14ac:dyDescent="0.3">
      <c r="A371" s="75"/>
      <c r="B371" s="75"/>
      <c r="C371" s="75"/>
      <c r="D371" s="75"/>
      <c r="E371" s="75"/>
      <c r="F371" s="75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5.75" customHeight="1" x14ac:dyDescent="0.3">
      <c r="A372" s="75"/>
      <c r="B372" s="75"/>
      <c r="C372" s="75"/>
      <c r="D372" s="75"/>
      <c r="E372" s="75"/>
      <c r="F372" s="75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5.75" customHeight="1" x14ac:dyDescent="0.3">
      <c r="A373" s="75"/>
      <c r="B373" s="75"/>
      <c r="C373" s="75"/>
      <c r="D373" s="75"/>
      <c r="E373" s="75"/>
      <c r="F373" s="75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5.75" customHeight="1" x14ac:dyDescent="0.3">
      <c r="A374" s="75"/>
      <c r="B374" s="75"/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5.75" customHeight="1" x14ac:dyDescent="0.3">
      <c r="A375" s="75"/>
      <c r="B375" s="75"/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5.75" customHeight="1" x14ac:dyDescent="0.3">
      <c r="A376" s="75"/>
      <c r="B376" s="75"/>
      <c r="C376" s="75"/>
      <c r="D376" s="75"/>
      <c r="E376" s="75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5.75" customHeight="1" x14ac:dyDescent="0.3">
      <c r="A377" s="75"/>
      <c r="B377" s="75"/>
      <c r="C377" s="75"/>
      <c r="D377" s="75"/>
      <c r="E377" s="75"/>
      <c r="F377" s="75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5.75" customHeight="1" x14ac:dyDescent="0.3">
      <c r="A378" s="75"/>
      <c r="B378" s="75"/>
      <c r="C378" s="75"/>
      <c r="D378" s="75"/>
      <c r="E378" s="75"/>
      <c r="F378" s="75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5.75" customHeight="1" x14ac:dyDescent="0.3">
      <c r="A379" s="75"/>
      <c r="B379" s="75"/>
      <c r="C379" s="75"/>
      <c r="D379" s="75"/>
      <c r="E379" s="75"/>
      <c r="F379" s="75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5.75" customHeight="1" x14ac:dyDescent="0.3">
      <c r="A380" s="75"/>
      <c r="B380" s="75"/>
      <c r="C380" s="75"/>
      <c r="D380" s="75"/>
      <c r="E380" s="75"/>
      <c r="F380" s="75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5.75" customHeight="1" x14ac:dyDescent="0.3">
      <c r="A381" s="75"/>
      <c r="B381" s="75"/>
      <c r="C381" s="75"/>
      <c r="D381" s="75"/>
      <c r="E381" s="75"/>
      <c r="F381" s="75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5.75" customHeight="1" x14ac:dyDescent="0.3">
      <c r="A382" s="75"/>
      <c r="B382" s="75"/>
      <c r="C382" s="75"/>
      <c r="D382" s="75"/>
      <c r="E382" s="75"/>
      <c r="F382" s="75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5.75" customHeight="1" x14ac:dyDescent="0.3">
      <c r="A383" s="75"/>
      <c r="B383" s="75"/>
      <c r="C383" s="75"/>
      <c r="D383" s="75"/>
      <c r="E383" s="75"/>
      <c r="F383" s="75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5.75" customHeight="1" x14ac:dyDescent="0.3">
      <c r="A384" s="75"/>
      <c r="B384" s="75"/>
      <c r="C384" s="75"/>
      <c r="D384" s="75"/>
      <c r="E384" s="75"/>
      <c r="F384" s="75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5.75" customHeight="1" x14ac:dyDescent="0.3">
      <c r="A385" s="75"/>
      <c r="B385" s="75"/>
      <c r="C385" s="75"/>
      <c r="D385" s="75"/>
      <c r="E385" s="75"/>
      <c r="F385" s="75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5.75" customHeight="1" x14ac:dyDescent="0.3">
      <c r="A386" s="75"/>
      <c r="B386" s="75"/>
      <c r="C386" s="75"/>
      <c r="D386" s="75"/>
      <c r="E386" s="75"/>
      <c r="F386" s="75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5.75" customHeight="1" x14ac:dyDescent="0.3">
      <c r="A387" s="75"/>
      <c r="B387" s="75"/>
      <c r="C387" s="75"/>
      <c r="D387" s="75"/>
      <c r="E387" s="75"/>
      <c r="F387" s="75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5.75" customHeight="1" x14ac:dyDescent="0.3">
      <c r="A388" s="75"/>
      <c r="B388" s="75"/>
      <c r="C388" s="75"/>
      <c r="D388" s="75"/>
      <c r="E388" s="75"/>
      <c r="F388" s="75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5.75" customHeight="1" x14ac:dyDescent="0.3">
      <c r="A389" s="75"/>
      <c r="B389" s="75"/>
      <c r="C389" s="75"/>
      <c r="D389" s="75"/>
      <c r="E389" s="75"/>
      <c r="F389" s="75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5.75" customHeight="1" x14ac:dyDescent="0.3">
      <c r="A390" s="75"/>
      <c r="B390" s="75"/>
      <c r="C390" s="75"/>
      <c r="D390" s="75"/>
      <c r="E390" s="75"/>
      <c r="F390" s="75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5.75" customHeight="1" x14ac:dyDescent="0.3">
      <c r="A391" s="75"/>
      <c r="B391" s="75"/>
      <c r="C391" s="75"/>
      <c r="D391" s="75"/>
      <c r="E391" s="75"/>
      <c r="F391" s="75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5.75" customHeight="1" x14ac:dyDescent="0.3">
      <c r="A392" s="75"/>
      <c r="B392" s="75"/>
      <c r="C392" s="75"/>
      <c r="D392" s="75"/>
      <c r="E392" s="75"/>
      <c r="F392" s="75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5.75" customHeight="1" x14ac:dyDescent="0.3">
      <c r="A393" s="75"/>
      <c r="B393" s="75"/>
      <c r="C393" s="75"/>
      <c r="D393" s="75"/>
      <c r="E393" s="75"/>
      <c r="F393" s="75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5.75" customHeight="1" x14ac:dyDescent="0.3">
      <c r="A394" s="75"/>
      <c r="B394" s="75"/>
      <c r="C394" s="75"/>
      <c r="D394" s="75"/>
      <c r="E394" s="75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5.75" customHeight="1" x14ac:dyDescent="0.3">
      <c r="A395" s="75"/>
      <c r="B395" s="75"/>
      <c r="C395" s="75"/>
      <c r="D395" s="75"/>
      <c r="E395" s="75"/>
      <c r="F395" s="75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5.75" customHeight="1" x14ac:dyDescent="0.3">
      <c r="A396" s="75"/>
      <c r="B396" s="75"/>
      <c r="C396" s="75"/>
      <c r="D396" s="75"/>
      <c r="E396" s="75"/>
      <c r="F396" s="75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5.75" customHeight="1" x14ac:dyDescent="0.3">
      <c r="A397" s="75"/>
      <c r="B397" s="75"/>
      <c r="C397" s="75"/>
      <c r="D397" s="75"/>
      <c r="E397" s="75"/>
      <c r="F397" s="75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5.75" customHeight="1" x14ac:dyDescent="0.3">
      <c r="A398" s="75"/>
      <c r="B398" s="75"/>
      <c r="C398" s="75"/>
      <c r="D398" s="75"/>
      <c r="E398" s="75"/>
      <c r="F398" s="75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5.75" customHeight="1" x14ac:dyDescent="0.3">
      <c r="A399" s="75"/>
      <c r="B399" s="75"/>
      <c r="C399" s="75"/>
      <c r="D399" s="75"/>
      <c r="E399" s="75"/>
      <c r="F399" s="75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5.75" customHeight="1" x14ac:dyDescent="0.3">
      <c r="A400" s="75"/>
      <c r="B400" s="75"/>
      <c r="C400" s="75"/>
      <c r="D400" s="75"/>
      <c r="E400" s="75"/>
      <c r="F400" s="75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5.75" customHeight="1" x14ac:dyDescent="0.3">
      <c r="A401" s="75"/>
      <c r="B401" s="75"/>
      <c r="C401" s="75"/>
      <c r="D401" s="75"/>
      <c r="E401" s="75"/>
      <c r="F401" s="75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5.75" customHeight="1" x14ac:dyDescent="0.3">
      <c r="A402" s="75"/>
      <c r="B402" s="75"/>
      <c r="C402" s="75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5.75" customHeight="1" x14ac:dyDescent="0.3">
      <c r="A403" s="75"/>
      <c r="B403" s="75"/>
      <c r="C403" s="75"/>
      <c r="D403" s="75"/>
      <c r="E403" s="75"/>
      <c r="F403" s="75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5.75" customHeight="1" x14ac:dyDescent="0.3">
      <c r="A404" s="75"/>
      <c r="B404" s="75"/>
      <c r="C404" s="75"/>
      <c r="D404" s="75"/>
      <c r="E404" s="75"/>
      <c r="F404" s="75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5.75" customHeight="1" x14ac:dyDescent="0.3">
      <c r="A405" s="75"/>
      <c r="B405" s="75"/>
      <c r="C405" s="75"/>
      <c r="D405" s="75"/>
      <c r="E405" s="75"/>
      <c r="F405" s="75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5.75" customHeight="1" x14ac:dyDescent="0.3">
      <c r="A406" s="75"/>
      <c r="B406" s="75"/>
      <c r="C406" s="75"/>
      <c r="D406" s="75"/>
      <c r="E406" s="75"/>
      <c r="F406" s="75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5.75" customHeight="1" x14ac:dyDescent="0.3">
      <c r="A407" s="75"/>
      <c r="B407" s="75"/>
      <c r="C407" s="75"/>
      <c r="D407" s="75"/>
      <c r="E407" s="75"/>
      <c r="F407" s="75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5.75" customHeight="1" x14ac:dyDescent="0.3">
      <c r="A408" s="75"/>
      <c r="B408" s="75"/>
      <c r="C408" s="75"/>
      <c r="D408" s="75"/>
      <c r="E408" s="75"/>
      <c r="F408" s="75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5.75" customHeight="1" x14ac:dyDescent="0.3">
      <c r="A409" s="75"/>
      <c r="B409" s="75"/>
      <c r="C409" s="75"/>
      <c r="D409" s="75"/>
      <c r="E409" s="75"/>
      <c r="F409" s="75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5.75" customHeight="1" x14ac:dyDescent="0.3">
      <c r="A410" s="75"/>
      <c r="B410" s="75"/>
      <c r="C410" s="75"/>
      <c r="D410" s="75"/>
      <c r="E410" s="75"/>
      <c r="F410" s="75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5.75" customHeight="1" x14ac:dyDescent="0.3">
      <c r="A411" s="75"/>
      <c r="B411" s="75"/>
      <c r="C411" s="75"/>
      <c r="D411" s="75"/>
      <c r="E411" s="75"/>
      <c r="F411" s="75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5.75" customHeight="1" x14ac:dyDescent="0.3">
      <c r="A412" s="75"/>
      <c r="B412" s="75"/>
      <c r="C412" s="75"/>
      <c r="D412" s="75"/>
      <c r="E412" s="75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5.75" customHeight="1" x14ac:dyDescent="0.3">
      <c r="A413" s="75"/>
      <c r="B413" s="75"/>
      <c r="C413" s="75"/>
      <c r="D413" s="75"/>
      <c r="E413" s="75"/>
      <c r="F413" s="75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5.75" customHeight="1" x14ac:dyDescent="0.3">
      <c r="A414" s="75"/>
      <c r="B414" s="75"/>
      <c r="C414" s="75"/>
      <c r="D414" s="75"/>
      <c r="E414" s="75"/>
      <c r="F414" s="75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5.75" customHeight="1" x14ac:dyDescent="0.3">
      <c r="A415" s="75"/>
      <c r="B415" s="75"/>
      <c r="C415" s="75"/>
      <c r="D415" s="75"/>
      <c r="E415" s="75"/>
      <c r="F415" s="75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5.75" customHeight="1" x14ac:dyDescent="0.3">
      <c r="A416" s="75"/>
      <c r="B416" s="75"/>
      <c r="C416" s="75"/>
      <c r="D416" s="75"/>
      <c r="E416" s="75"/>
      <c r="F416" s="75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5.75" customHeight="1" x14ac:dyDescent="0.3">
      <c r="A417" s="75"/>
      <c r="B417" s="75"/>
      <c r="C417" s="75"/>
      <c r="D417" s="75"/>
      <c r="E417" s="75"/>
      <c r="F417" s="75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5.75" customHeight="1" x14ac:dyDescent="0.3">
      <c r="A418" s="75"/>
      <c r="B418" s="75"/>
      <c r="C418" s="75"/>
      <c r="D418" s="75"/>
      <c r="E418" s="75"/>
      <c r="F418" s="75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5.75" customHeight="1" x14ac:dyDescent="0.3">
      <c r="A419" s="75"/>
      <c r="B419" s="75"/>
      <c r="C419" s="75"/>
      <c r="D419" s="75"/>
      <c r="E419" s="75"/>
      <c r="F419" s="75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5.75" customHeight="1" x14ac:dyDescent="0.3">
      <c r="A420" s="75"/>
      <c r="B420" s="75"/>
      <c r="C420" s="75"/>
      <c r="D420" s="75"/>
      <c r="E420" s="75"/>
      <c r="F420" s="75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5.75" customHeight="1" x14ac:dyDescent="0.3">
      <c r="A421" s="75"/>
      <c r="B421" s="75"/>
      <c r="C421" s="75"/>
      <c r="D421" s="75"/>
      <c r="E421" s="75"/>
      <c r="F421" s="75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5.75" customHeight="1" x14ac:dyDescent="0.3">
      <c r="A422" s="75"/>
      <c r="B422" s="75"/>
      <c r="C422" s="75"/>
      <c r="D422" s="75"/>
      <c r="E422" s="75"/>
      <c r="F422" s="75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5.75" customHeight="1" x14ac:dyDescent="0.3">
      <c r="A423" s="75"/>
      <c r="B423" s="75"/>
      <c r="C423" s="75"/>
      <c r="D423" s="75"/>
      <c r="E423" s="75"/>
      <c r="F423" s="75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5.75" customHeight="1" x14ac:dyDescent="0.3">
      <c r="A424" s="75"/>
      <c r="B424" s="75"/>
      <c r="C424" s="75"/>
      <c r="D424" s="75"/>
      <c r="E424" s="75"/>
      <c r="F424" s="75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5.75" customHeight="1" x14ac:dyDescent="0.3">
      <c r="A425" s="75"/>
      <c r="B425" s="75"/>
      <c r="C425" s="75"/>
      <c r="D425" s="75"/>
      <c r="E425" s="75"/>
      <c r="F425" s="75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5.75" customHeight="1" x14ac:dyDescent="0.3">
      <c r="A426" s="75"/>
      <c r="B426" s="75"/>
      <c r="C426" s="75"/>
      <c r="D426" s="75"/>
      <c r="E426" s="75"/>
      <c r="F426" s="75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5.75" customHeight="1" x14ac:dyDescent="0.3">
      <c r="A427" s="75"/>
      <c r="B427" s="75"/>
      <c r="C427" s="75"/>
      <c r="D427" s="75"/>
      <c r="E427" s="75"/>
      <c r="F427" s="75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5.75" customHeight="1" x14ac:dyDescent="0.3">
      <c r="A428" s="75"/>
      <c r="B428" s="75"/>
      <c r="C428" s="75"/>
      <c r="D428" s="75"/>
      <c r="E428" s="75"/>
      <c r="F428" s="75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5.75" customHeight="1" x14ac:dyDescent="0.3">
      <c r="A429" s="75"/>
      <c r="B429" s="75"/>
      <c r="C429" s="75"/>
      <c r="D429" s="75"/>
      <c r="E429" s="75"/>
      <c r="F429" s="75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5.75" customHeight="1" x14ac:dyDescent="0.3">
      <c r="A430" s="75"/>
      <c r="B430" s="75"/>
      <c r="C430" s="75"/>
      <c r="D430" s="75"/>
      <c r="E430" s="75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5.75" customHeight="1" x14ac:dyDescent="0.3">
      <c r="A431" s="75"/>
      <c r="B431" s="75"/>
      <c r="C431" s="75"/>
      <c r="D431" s="75"/>
      <c r="E431" s="75"/>
      <c r="F431" s="75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5.75" customHeight="1" x14ac:dyDescent="0.3">
      <c r="A432" s="75"/>
      <c r="B432" s="75"/>
      <c r="C432" s="75"/>
      <c r="D432" s="75"/>
      <c r="E432" s="75"/>
      <c r="F432" s="75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5.75" customHeight="1" x14ac:dyDescent="0.3">
      <c r="A433" s="75"/>
      <c r="B433" s="75"/>
      <c r="C433" s="75"/>
      <c r="D433" s="75"/>
      <c r="E433" s="75"/>
      <c r="F433" s="75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5.75" customHeight="1" x14ac:dyDescent="0.3">
      <c r="A434" s="75"/>
      <c r="B434" s="75"/>
      <c r="C434" s="75"/>
      <c r="D434" s="75"/>
      <c r="E434" s="75"/>
      <c r="F434" s="75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5.75" customHeight="1" x14ac:dyDescent="0.3">
      <c r="A435" s="75"/>
      <c r="B435" s="75"/>
      <c r="C435" s="75"/>
      <c r="D435" s="75"/>
      <c r="E435" s="75"/>
      <c r="F435" s="75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5.75" customHeight="1" x14ac:dyDescent="0.3">
      <c r="A436" s="75"/>
      <c r="B436" s="75"/>
      <c r="C436" s="75"/>
      <c r="D436" s="75"/>
      <c r="E436" s="75"/>
      <c r="F436" s="75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5.75" customHeight="1" x14ac:dyDescent="0.3">
      <c r="A437" s="75"/>
      <c r="B437" s="75"/>
      <c r="C437" s="75"/>
      <c r="D437" s="75"/>
      <c r="E437" s="75"/>
      <c r="F437" s="75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5.75" customHeight="1" x14ac:dyDescent="0.3">
      <c r="A438" s="75"/>
      <c r="B438" s="75"/>
      <c r="C438" s="75"/>
      <c r="D438" s="75"/>
      <c r="E438" s="75"/>
      <c r="F438" s="75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5.75" customHeight="1" x14ac:dyDescent="0.3">
      <c r="A439" s="75"/>
      <c r="B439" s="75"/>
      <c r="C439" s="75"/>
      <c r="D439" s="75"/>
      <c r="E439" s="75"/>
      <c r="F439" s="75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5.75" customHeight="1" x14ac:dyDescent="0.3">
      <c r="A440" s="75"/>
      <c r="B440" s="75"/>
      <c r="C440" s="75"/>
      <c r="D440" s="75"/>
      <c r="E440" s="75"/>
      <c r="F440" s="75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5.75" customHeight="1" x14ac:dyDescent="0.3">
      <c r="A441" s="75"/>
      <c r="B441" s="75"/>
      <c r="C441" s="75"/>
      <c r="D441" s="75"/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5.75" customHeight="1" x14ac:dyDescent="0.3">
      <c r="A442" s="75"/>
      <c r="B442" s="75"/>
      <c r="C442" s="75"/>
      <c r="D442" s="75"/>
      <c r="E442" s="75"/>
      <c r="F442" s="75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5.75" customHeight="1" x14ac:dyDescent="0.3">
      <c r="A443" s="75"/>
      <c r="B443" s="75"/>
      <c r="C443" s="75"/>
      <c r="D443" s="75"/>
      <c r="E443" s="75"/>
      <c r="F443" s="75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5.75" customHeight="1" x14ac:dyDescent="0.3">
      <c r="A444" s="75"/>
      <c r="B444" s="75"/>
      <c r="C444" s="75"/>
      <c r="D444" s="75"/>
      <c r="E444" s="75"/>
      <c r="F444" s="75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5.75" customHeight="1" x14ac:dyDescent="0.3">
      <c r="A445" s="75"/>
      <c r="B445" s="75"/>
      <c r="C445" s="75"/>
      <c r="D445" s="75"/>
      <c r="E445" s="75"/>
      <c r="F445" s="75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5.75" customHeight="1" x14ac:dyDescent="0.3">
      <c r="A446" s="75"/>
      <c r="B446" s="75"/>
      <c r="C446" s="75"/>
      <c r="D446" s="75"/>
      <c r="E446" s="75"/>
      <c r="F446" s="75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5.75" customHeight="1" x14ac:dyDescent="0.3">
      <c r="A447" s="75"/>
      <c r="B447" s="75"/>
      <c r="C447" s="75"/>
      <c r="D447" s="75"/>
      <c r="E447" s="75"/>
      <c r="F447" s="75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5" customHeight="1" x14ac:dyDescent="0.3"/>
    <row r="449" ht="15" customHeight="1" x14ac:dyDescent="0.3"/>
    <row r="450" ht="15" customHeight="1" x14ac:dyDescent="0.3"/>
    <row r="451" ht="15" customHeight="1" x14ac:dyDescent="0.3"/>
    <row r="452" ht="15" customHeight="1" x14ac:dyDescent="0.3"/>
    <row r="453" ht="15" customHeight="1" x14ac:dyDescent="0.3"/>
    <row r="454" ht="15" customHeight="1" x14ac:dyDescent="0.3"/>
    <row r="455" ht="15" customHeight="1" x14ac:dyDescent="0.3"/>
    <row r="456" ht="15" customHeight="1" x14ac:dyDescent="0.3"/>
    <row r="457" ht="15" customHeight="1" x14ac:dyDescent="0.3"/>
    <row r="458" ht="15" customHeight="1" x14ac:dyDescent="0.3"/>
    <row r="459" ht="15" customHeight="1" x14ac:dyDescent="0.3"/>
    <row r="460" ht="15" customHeight="1" x14ac:dyDescent="0.3"/>
    <row r="461" ht="15" customHeight="1" x14ac:dyDescent="0.3"/>
    <row r="462" ht="15" customHeight="1" x14ac:dyDescent="0.3"/>
    <row r="463" ht="15" customHeight="1" x14ac:dyDescent="0.3"/>
    <row r="464" ht="15" customHeight="1" x14ac:dyDescent="0.3"/>
    <row r="465" ht="15" customHeight="1" x14ac:dyDescent="0.3"/>
    <row r="466" ht="15" customHeight="1" x14ac:dyDescent="0.3"/>
    <row r="467" ht="15" customHeight="1" x14ac:dyDescent="0.3"/>
    <row r="468" ht="15" customHeight="1" x14ac:dyDescent="0.3"/>
    <row r="469" ht="15" customHeight="1" x14ac:dyDescent="0.3"/>
    <row r="470" ht="15" customHeight="1" x14ac:dyDescent="0.3"/>
    <row r="471" ht="15" customHeight="1" x14ac:dyDescent="0.3"/>
    <row r="472" ht="15" customHeight="1" x14ac:dyDescent="0.3"/>
    <row r="473" ht="15" customHeight="1" x14ac:dyDescent="0.3"/>
    <row r="474" ht="15" customHeight="1" x14ac:dyDescent="0.3"/>
    <row r="475" ht="15" customHeight="1" x14ac:dyDescent="0.3"/>
    <row r="476" ht="15" customHeight="1" x14ac:dyDescent="0.3"/>
    <row r="477" ht="15" customHeight="1" x14ac:dyDescent="0.3"/>
    <row r="478" ht="15" customHeight="1" x14ac:dyDescent="0.3"/>
    <row r="479" ht="15" customHeight="1" x14ac:dyDescent="0.3"/>
    <row r="480" ht="15" customHeight="1" x14ac:dyDescent="0.3"/>
    <row r="481" ht="15" customHeight="1" x14ac:dyDescent="0.3"/>
    <row r="482" ht="15" customHeight="1" x14ac:dyDescent="0.3"/>
    <row r="483" ht="15" customHeight="1" x14ac:dyDescent="0.3"/>
    <row r="484" ht="15" customHeight="1" x14ac:dyDescent="0.3"/>
    <row r="485" ht="15" customHeight="1" x14ac:dyDescent="0.3"/>
    <row r="486" ht="15" customHeight="1" x14ac:dyDescent="0.3"/>
    <row r="487" ht="15" customHeight="1" x14ac:dyDescent="0.3"/>
    <row r="488" ht="15" customHeight="1" x14ac:dyDescent="0.3"/>
    <row r="489" ht="15" customHeight="1" x14ac:dyDescent="0.3"/>
    <row r="490" ht="15" customHeight="1" x14ac:dyDescent="0.3"/>
    <row r="491" ht="15" customHeight="1" x14ac:dyDescent="0.3"/>
    <row r="492" ht="15" customHeight="1" x14ac:dyDescent="0.3"/>
    <row r="493" ht="15" customHeight="1" x14ac:dyDescent="0.3"/>
    <row r="494" ht="15" customHeight="1" x14ac:dyDescent="0.3"/>
    <row r="495" ht="15" customHeight="1" x14ac:dyDescent="0.3"/>
    <row r="496" ht="15" customHeight="1" x14ac:dyDescent="0.3"/>
    <row r="497" ht="15" customHeight="1" x14ac:dyDescent="0.3"/>
    <row r="498" ht="15" customHeight="1" x14ac:dyDescent="0.3"/>
    <row r="499" ht="15" customHeight="1" x14ac:dyDescent="0.3"/>
    <row r="500" ht="15" customHeight="1" x14ac:dyDescent="0.3"/>
    <row r="501" ht="15" customHeight="1" x14ac:dyDescent="0.3"/>
    <row r="502" ht="15" customHeight="1" x14ac:dyDescent="0.3"/>
    <row r="503" ht="15" customHeight="1" x14ac:dyDescent="0.3"/>
    <row r="504" ht="15" customHeight="1" x14ac:dyDescent="0.3"/>
    <row r="505" ht="15" customHeight="1" x14ac:dyDescent="0.3"/>
    <row r="506" ht="15" customHeight="1" x14ac:dyDescent="0.3"/>
    <row r="507" ht="15" customHeight="1" x14ac:dyDescent="0.3"/>
    <row r="508" ht="15" customHeight="1" x14ac:dyDescent="0.3"/>
    <row r="509" ht="15" customHeight="1" x14ac:dyDescent="0.3"/>
    <row r="510" ht="15" customHeight="1" x14ac:dyDescent="0.3"/>
    <row r="511" ht="15" customHeight="1" x14ac:dyDescent="0.3"/>
    <row r="512" ht="15" customHeight="1" x14ac:dyDescent="0.3"/>
    <row r="513" ht="15" customHeight="1" x14ac:dyDescent="0.3"/>
    <row r="514" ht="15" customHeight="1" x14ac:dyDescent="0.3"/>
    <row r="515" ht="15" customHeight="1" x14ac:dyDescent="0.3"/>
    <row r="516" ht="15" customHeight="1" x14ac:dyDescent="0.3"/>
    <row r="517" ht="15" customHeight="1" x14ac:dyDescent="0.3"/>
    <row r="518" ht="15" customHeight="1" x14ac:dyDescent="0.3"/>
    <row r="519" ht="15" customHeight="1" x14ac:dyDescent="0.3"/>
    <row r="520" ht="15" customHeight="1" x14ac:dyDescent="0.3"/>
    <row r="521" ht="15" customHeight="1" x14ac:dyDescent="0.3"/>
    <row r="522" ht="15" customHeight="1" x14ac:dyDescent="0.3"/>
    <row r="523" ht="15" customHeight="1" x14ac:dyDescent="0.3"/>
    <row r="524" ht="15" customHeight="1" x14ac:dyDescent="0.3"/>
    <row r="525" ht="15" customHeight="1" x14ac:dyDescent="0.3"/>
    <row r="526" ht="15" customHeight="1" x14ac:dyDescent="0.3"/>
    <row r="527" ht="15" customHeight="1" x14ac:dyDescent="0.3"/>
    <row r="528" ht="15" customHeight="1" x14ac:dyDescent="0.3"/>
    <row r="529" ht="15" customHeight="1" x14ac:dyDescent="0.3"/>
    <row r="530" ht="15" customHeight="1" x14ac:dyDescent="0.3"/>
    <row r="531" ht="15" customHeight="1" x14ac:dyDescent="0.3"/>
    <row r="532" ht="15" customHeight="1" x14ac:dyDescent="0.3"/>
    <row r="533" ht="15" customHeight="1" x14ac:dyDescent="0.3"/>
    <row r="534" ht="15" customHeight="1" x14ac:dyDescent="0.3"/>
    <row r="535" ht="15" customHeight="1" x14ac:dyDescent="0.3"/>
    <row r="536" ht="15" customHeight="1" x14ac:dyDescent="0.3"/>
    <row r="537" ht="15" customHeight="1" x14ac:dyDescent="0.3"/>
    <row r="538" ht="15" customHeight="1" x14ac:dyDescent="0.3"/>
    <row r="539" ht="15" customHeight="1" x14ac:dyDescent="0.3"/>
    <row r="540" ht="15" customHeight="1" x14ac:dyDescent="0.3"/>
    <row r="541" ht="15" customHeight="1" x14ac:dyDescent="0.3"/>
    <row r="542" ht="15" customHeight="1" x14ac:dyDescent="0.3"/>
    <row r="543" ht="15" customHeight="1" x14ac:dyDescent="0.3"/>
    <row r="544" ht="15" customHeight="1" x14ac:dyDescent="0.3"/>
    <row r="545" ht="15" customHeight="1" x14ac:dyDescent="0.3"/>
    <row r="546" ht="15" customHeight="1" x14ac:dyDescent="0.3"/>
    <row r="547" ht="15" customHeight="1" x14ac:dyDescent="0.3"/>
    <row r="548" ht="15" customHeight="1" x14ac:dyDescent="0.3"/>
    <row r="549" ht="15" customHeight="1" x14ac:dyDescent="0.3"/>
    <row r="550" ht="15" customHeight="1" x14ac:dyDescent="0.3"/>
    <row r="551" ht="15" customHeight="1" x14ac:dyDescent="0.3"/>
    <row r="552" ht="15" customHeight="1" x14ac:dyDescent="0.3"/>
    <row r="553" ht="15" customHeight="1" x14ac:dyDescent="0.3"/>
    <row r="554" ht="15" customHeight="1" x14ac:dyDescent="0.3"/>
    <row r="555" ht="15" customHeight="1" x14ac:dyDescent="0.3"/>
    <row r="556" ht="15" customHeight="1" x14ac:dyDescent="0.3"/>
    <row r="557" ht="15" customHeight="1" x14ac:dyDescent="0.3"/>
    <row r="558" ht="15" customHeight="1" x14ac:dyDescent="0.3"/>
    <row r="559" ht="15" customHeight="1" x14ac:dyDescent="0.3"/>
    <row r="560" ht="15" customHeight="1" x14ac:dyDescent="0.3"/>
    <row r="561" ht="15" customHeight="1" x14ac:dyDescent="0.3"/>
    <row r="562" ht="15" customHeight="1" x14ac:dyDescent="0.3"/>
    <row r="563" ht="15" customHeight="1" x14ac:dyDescent="0.3"/>
    <row r="564" ht="15" customHeight="1" x14ac:dyDescent="0.3"/>
    <row r="565" ht="15" customHeight="1" x14ac:dyDescent="0.3"/>
    <row r="566" ht="15" customHeight="1" x14ac:dyDescent="0.3"/>
    <row r="567" ht="15" customHeight="1" x14ac:dyDescent="0.3"/>
    <row r="568" ht="15" customHeight="1" x14ac:dyDescent="0.3"/>
    <row r="569" ht="15" customHeight="1" x14ac:dyDescent="0.3"/>
    <row r="570" ht="15" customHeight="1" x14ac:dyDescent="0.3"/>
    <row r="571" ht="15" customHeight="1" x14ac:dyDescent="0.3"/>
    <row r="572" ht="15" customHeight="1" x14ac:dyDescent="0.3"/>
    <row r="573" ht="15" customHeight="1" x14ac:dyDescent="0.3"/>
    <row r="574" ht="15" customHeight="1" x14ac:dyDescent="0.3"/>
    <row r="575" ht="15" customHeight="1" x14ac:dyDescent="0.3"/>
    <row r="576" ht="15" customHeight="1" x14ac:dyDescent="0.3"/>
    <row r="577" ht="15" customHeight="1" x14ac:dyDescent="0.3"/>
    <row r="578" ht="15" customHeight="1" x14ac:dyDescent="0.3"/>
    <row r="579" ht="15" customHeight="1" x14ac:dyDescent="0.3"/>
    <row r="580" ht="15" customHeight="1" x14ac:dyDescent="0.3"/>
    <row r="581" ht="15" customHeight="1" x14ac:dyDescent="0.3"/>
    <row r="582" ht="15" customHeight="1" x14ac:dyDescent="0.3"/>
    <row r="583" ht="15" customHeight="1" x14ac:dyDescent="0.3"/>
    <row r="584" ht="15" customHeight="1" x14ac:dyDescent="0.3"/>
    <row r="585" ht="15" customHeight="1" x14ac:dyDescent="0.3"/>
    <row r="586" ht="15" customHeight="1" x14ac:dyDescent="0.3"/>
    <row r="587" ht="15" customHeight="1" x14ac:dyDescent="0.3"/>
    <row r="588" ht="15" customHeight="1" x14ac:dyDescent="0.3"/>
    <row r="589" ht="15" customHeight="1" x14ac:dyDescent="0.3"/>
    <row r="590" ht="15" customHeight="1" x14ac:dyDescent="0.3"/>
    <row r="591" ht="15" customHeight="1" x14ac:dyDescent="0.3"/>
    <row r="592" ht="15" customHeight="1" x14ac:dyDescent="0.3"/>
    <row r="593" ht="15" customHeight="1" x14ac:dyDescent="0.3"/>
    <row r="594" ht="15" customHeight="1" x14ac:dyDescent="0.3"/>
    <row r="595" ht="15" customHeight="1" x14ac:dyDescent="0.3"/>
    <row r="596" ht="15" customHeight="1" x14ac:dyDescent="0.3"/>
    <row r="597" ht="15" customHeight="1" x14ac:dyDescent="0.3"/>
    <row r="598" ht="15" customHeight="1" x14ac:dyDescent="0.3"/>
    <row r="599" ht="15" customHeight="1" x14ac:dyDescent="0.3"/>
    <row r="600" ht="15" customHeight="1" x14ac:dyDescent="0.3"/>
    <row r="601" ht="15" customHeight="1" x14ac:dyDescent="0.3"/>
    <row r="602" ht="15" customHeight="1" x14ac:dyDescent="0.3"/>
    <row r="603" ht="15" customHeight="1" x14ac:dyDescent="0.3"/>
    <row r="604" ht="15" customHeight="1" x14ac:dyDescent="0.3"/>
    <row r="605" ht="15" customHeight="1" x14ac:dyDescent="0.3"/>
    <row r="606" ht="15" customHeight="1" x14ac:dyDescent="0.3"/>
    <row r="607" ht="15" customHeight="1" x14ac:dyDescent="0.3"/>
    <row r="608" ht="15" customHeight="1" x14ac:dyDescent="0.3"/>
    <row r="609" ht="15" customHeight="1" x14ac:dyDescent="0.3"/>
    <row r="610" ht="15" customHeight="1" x14ac:dyDescent="0.3"/>
    <row r="611" ht="15" customHeight="1" x14ac:dyDescent="0.3"/>
    <row r="612" ht="15" customHeight="1" x14ac:dyDescent="0.3"/>
    <row r="613" ht="15" customHeight="1" x14ac:dyDescent="0.3"/>
    <row r="614" ht="15" customHeight="1" x14ac:dyDescent="0.3"/>
    <row r="615" ht="15" customHeight="1" x14ac:dyDescent="0.3"/>
    <row r="616" ht="15" customHeight="1" x14ac:dyDescent="0.3"/>
    <row r="617" ht="15" customHeight="1" x14ac:dyDescent="0.3"/>
    <row r="618" ht="15" customHeight="1" x14ac:dyDescent="0.3"/>
    <row r="619" ht="15" customHeight="1" x14ac:dyDescent="0.3"/>
    <row r="620" ht="15" customHeight="1" x14ac:dyDescent="0.3"/>
    <row r="621" ht="15" customHeight="1" x14ac:dyDescent="0.3"/>
    <row r="622" ht="15" customHeight="1" x14ac:dyDescent="0.3"/>
    <row r="623" ht="15" customHeight="1" x14ac:dyDescent="0.3"/>
    <row r="624" ht="15" customHeight="1" x14ac:dyDescent="0.3"/>
    <row r="625" ht="15" customHeight="1" x14ac:dyDescent="0.3"/>
  </sheetData>
  <conditionalFormatting sqref="W8">
    <cfRule type="cellIs" dxfId="22" priority="1" operator="greaterThan">
      <formula>500</formula>
    </cfRule>
  </conditionalFormatting>
  <dataValidations count="1">
    <dataValidation type="list" allowBlank="1" showInputMessage="1" showErrorMessage="1" sqref="V2:V1397">
      <formula1>"devis,engagé,facturé"</formula1>
    </dataValidation>
  </dataValidations>
  <hyperlinks>
    <hyperlink ref="G7" r:id="rId1"/>
    <hyperlink ref="G6" r:id="rId2"/>
    <hyperlink ref="G5" r:id="rId3"/>
  </hyperlinks>
  <pageMargins left="0.7" right="0.7" top="0.75" bottom="0.75" header="0.3" footer="0.3"/>
  <pageSetup paperSize="9" scale="16" fitToHeight="0" orientation="landscape" r:id="rId4"/>
  <legacyDrawing r:id="rId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9" sqref="E19"/>
    </sheetView>
  </sheetViews>
  <sheetFormatPr baseColWidth="10"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SUIVI BUDGET EP02</vt:lpstr>
      <vt:lpstr>EP02-LLIVIA</vt:lpstr>
      <vt:lpstr>EP03-BERMEJA</vt:lpstr>
      <vt:lpstr>PERIMETRE DROITS</vt:lpstr>
      <vt:lpstr>TABLEAU A FORMATTER</vt:lpstr>
      <vt:lpstr>Feuil11</vt:lpstr>
      <vt:lpstr>Feuil12</vt:lpstr>
      <vt:lpstr>Feuil13</vt:lpstr>
      <vt:lpstr>Feuil14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CS</cp:lastModifiedBy>
  <cp:lastPrinted>2022-01-31T21:23:19Z</cp:lastPrinted>
  <dcterms:created xsi:type="dcterms:W3CDTF">2015-06-05T18:19:34Z</dcterms:created>
  <dcterms:modified xsi:type="dcterms:W3CDTF">2022-02-03T20:33:35Z</dcterms:modified>
</cp:coreProperties>
</file>